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README" sheetId="1" state="visible" r:id="rId3"/>
    <sheet name="1_Input_Grid" sheetId="2" state="visible" r:id="rId4"/>
    <sheet name="2_Combinations" sheetId="3" state="visible" r:id="rId5"/>
    <sheet name="2b_To_hop_bi_loai" sheetId="4" state="visible" r:id="rId6"/>
    <sheet name="3_Paraphrase_Pool" sheetId="5" state="visible" r:id="rId7"/>
    <sheet name="4_Dataset_v1" sheetId="6" state="visible" r:id="rId8"/>
    <sheet name="5_Coverage_Check" sheetId="7" state="visible" r:id="rId9"/>
    <sheet name="6_AI_Support_Log"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<sst xmlns="http://schemas.openxmlformats.org/spreadsheetml/2006/main" count="1074" uniqueCount="626">
  <si>
    <t xml:space="preserve">PHASE 1 — THIẾT KẾ COVERAGE</t>
  </si>
  <si>
    <t xml:space="preserve">Sản phẩm</t>
  </si>
  <si>
    <t xml:space="preserve">VLearn AI Tutor — trợ giảng hỏi đáp về AI evaluations, chỉ trả lời từ corpus khoá học</t>
  </si>
  <si>
    <t xml:space="preserve">Output schema của tutor</t>
  </si>
  <si>
    <t xml:space="preserve">{answer, sources:[{doc, section, quote nguyên văn}], followup_questions[3]}</t>
  </si>
  <si>
    <t xml:space="preserve">Phiên bản</t>
  </si>
  <si>
    <t xml:space="preserve">Dataset v1.0 — chốt ngày 21/08/2026, Day 20 Phase 1</t>
  </si>
  <si>
    <t xml:space="preserve">Corpus</t>
  </si>
  <si>
    <t xml:space="preserve">D1 Hamel · Your AI Product Needs Evals  |  D2 Hamel · Creating a LLM-as-a-Judge  |  D3 AI Engineering Ch.3 Evaluation Methodology  |  D4 AI Engineering Ch.4 Evaluate AI Systems  |  S Slide khoá học Day 20–21</t>
  </si>
  <si>
    <t xml:space="preserve">CÁC SHEET</t>
  </si>
  <si>
    <t xml:space="preserve">1_Input_Grid</t>
  </si>
  <si>
    <t xml:space="preserve">Bước 1–2 · 4 dimension đã chốt + values, kèm 'đổi value thì hành vi đúng đổi thế nào' và 5 ứng viên bị loại</t>
  </si>
  <si>
    <t xml:space="preserve">2_Combinations</t>
  </si>
  <si>
    <t xml:space="preserve">Bước 3 · 15 combination được chọn từ 128 tổ hợp</t>
  </si>
  <si>
    <t xml:space="preserve">2b_To_hop_bi_loai</t>
  </si>
  <si>
    <t xml:space="preserve">Bước 3 · 8 tổ hợp bị loại và lý do — phần này cũng là deliverable (slide 27)</t>
  </si>
  <si>
    <t xml:space="preserve">3_Paraphrase_Pool</t>
  </si>
  <si>
    <t xml:space="preserve">Bước 5 · 30 câu do LLM paraphrase + quyết định Keep / Rewrite / Reject của con người</t>
  </si>
  <si>
    <t xml:space="preserve">4_Dataset_v1</t>
  </si>
  <si>
    <t xml:space="preserve">26 rows cuối cùng — bản đem lên platform ở Phase 2</t>
  </si>
  <si>
    <t xml:space="preserve">5_Coverage_Check</t>
  </si>
  <si>
    <t xml:space="preserve">GATE 1 · công thức tự đếm, kiểm ràng buộc bắt buộc của đề bài</t>
  </si>
  <si>
    <t xml:space="preserve">6_AI_Support_Log</t>
  </si>
  <si>
    <t xml:space="preserve">Khai báo mọi chỗ dùng AI theo yêu cầu của lab</t>
  </si>
  <si>
    <t xml:space="preserve">QUY ƯỚC MÀU</t>
  </si>
  <si>
    <t xml:space="preserve">Xanh lá</t>
  </si>
  <si>
    <t xml:space="preserve">set_type = representative — giống cách user thường hỏi</t>
  </si>
  <si>
    <t xml:space="preserve">Vàng</t>
  </si>
  <si>
    <t xml:space="preserve">set_type = challenge — cố ý over-sample tình huống khó</t>
  </si>
  <si>
    <t xml:space="preserve">Đỏ nhạt</t>
  </si>
  <si>
    <t xml:space="preserve">set_type = critical_regression — failure cost cao, không được phép regression</t>
  </si>
  <si>
    <t xml:space="preserve">Vàng đậm (ô nhập)</t>
  </si>
  <si>
    <t xml:space="preserve">Ô nhóm cần điền/sửa khi cập nhật dataset</t>
  </si>
  <si>
    <t xml:space="preserve">LUẬT ĐÃ TUÂN THỦ</t>
  </si>
  <si>
    <t xml:space="preserve">Luật 1</t>
  </si>
  <si>
    <t xml:space="preserve">Con người khoá coverage trước (sheet 1 &amp; 2), LLM chỉ paraphrase sau (sheet 3)</t>
  </si>
  <si>
    <t xml:space="preserve">Luật 3</t>
  </si>
  <si>
    <t xml:space="preserve">Mỗi row đại diện một expected behavior hoặc risk khác biệt — 4 câu paraphrase trùng coverage đã bị Reject, xem sheet 3</t>
  </si>
  <si>
    <t xml:space="preserve">Luật 7</t>
  </si>
  <si>
    <t xml:space="preserve">Mọi thay đổi dataset phải lên phiên bản mới và ghi lý do — dùng dòng 'Phiên bản' ở trên</t>
  </si>
  <si>
    <t xml:space="preserve">Dimension</t>
  </si>
  <si>
    <t xml:space="preserve">Mã</t>
  </si>
  <si>
    <t xml:space="preserve">Value</t>
  </si>
  <si>
    <t xml:space="preserve">Hành vi ĐÚNG của tutor khi value này xuất hiện</t>
  </si>
  <si>
    <t xml:space="preserve">Neo vào đâu trong corpus</t>
  </si>
  <si>
    <t xml:space="preserve">Vì sao value này có thật</t>
  </si>
  <si>
    <t xml:space="preserve">D-A · Độ phủ corpus</t>
  </si>
  <si>
    <t xml:space="preserve">corpus</t>
  </si>
  <si>
    <t xml:space="preserve">available</t>
  </si>
  <si>
    <t xml:space="preserve">Trả lời trực tiếp, cite ĐÚNG 1 nguồn, quote nguyên văn</t>
  </si>
  <si>
    <t xml:space="preserve">§AVAILABLE — D1 §Logging Traces, D2 §Step 3, D3 §Limitations, D4 §Generation Capability</t>
  </si>
  <si>
    <t xml:space="preserve">30+ khái niệm nằm gọn trong một section, có câu định nghĩa quote được</t>
  </si>
  <si>
    <t xml:space="preserve">scattered</t>
  </si>
  <si>
    <t xml:space="preserve">TỔNG HỢP ≥2 doc, cite từng nguồn, nói rõ đây là tổng hợp</t>
  </si>
  <si>
    <t xml:space="preserve">LLM-as-judge = D1+D2+D3; meta-eval judge = D1+D2+D4; human eval = D1+D2+D3</t>
  </si>
  <si>
    <t xml:space="preserve">5 khái niệm lõi của khoá bị chia đôi giữa blog và sách — mỗi nơi một góc</t>
  </si>
  <si>
    <t xml:space="preserve">partial</t>
  </si>
  <si>
    <t xml:space="preserve">Trả lời phần CÓ + TUYÊN BỐ RÕ phần corpus không có</t>
  </si>
  <si>
    <t xml:space="preserve">Đánh giá RAG · online eval · thống kê cho eval · eval agent · cost/latency</t>
  </si>
  <si>
    <t xml:space="preserve">Corpus chạm chủ đề nhưng dừng ở mức khái niệm, không có công thức/chỉ số</t>
  </si>
  <si>
    <t xml:space="preserve">absent</t>
  </si>
  <si>
    <t xml:space="preserve">TỪ CHỐI, sources rỗng hoặc giải thích, KHÔNG bịa quote</t>
  </si>
  <si>
    <t xml:space="preserve">Giá API · leaderboard · Transformer · LoRA · EU AI Act · ROC-AUC &amp; NLI (Eugene Yan) · axial coding (Field Guide)</t>
  </si>
  <si>
    <t xml:space="preserve">Học viên đọc thêm blog khác rồi hỏi bằng thuật ngữ nghe rất 'trong bài'</t>
  </si>
  <si>
    <t xml:space="preserve">D-B · Chất lượng đề bài</t>
  </si>
  <si>
    <t xml:space="preserve">input</t>
  </si>
  <si>
    <t xml:space="preserve">clear</t>
  </si>
  <si>
    <t xml:space="preserve">Trả lời ngay, không hỏi lại thừa</t>
  </si>
  <si>
    <t xml:space="preserve">—</t>
  </si>
  <si>
    <t xml:space="preserve">Câu hỏi đủ thông tin — baseline</t>
  </si>
  <si>
    <t xml:space="preserve">missing_referent</t>
  </si>
  <si>
    <t xml:space="preserve">HỎI LẠI để xác định, hoặc nêu rõ giả định đang dùng</t>
  </si>
  <si>
    <t xml:space="preserve">Học viên trỏ ngược về buổi trước: 'cái ma trận hôm trước', 'cái bài đó'</t>
  </si>
  <si>
    <t xml:space="preserve">multi_intent</t>
  </si>
  <si>
    <t xml:space="preserve">Trả lời CẢ HAI ý, không bỏ sót ý thứ hai</t>
  </si>
  <si>
    <t xml:space="preserve">Slide 22: '20% ticket có 2 issue' — nhắn 2 ý một lần là hành vi rất phổ biến</t>
  </si>
  <si>
    <t xml:space="preserve">false_premise</t>
  </si>
  <si>
    <t xml:space="preserve">SỬA GIẢ ĐỊNH TRƯỚC rồi mới trả lời phần còn lại</t>
  </si>
  <si>
    <t xml:space="preserve">25 câu bẫy đã liệt kê ở tài liệu nền §2.6</t>
  </si>
  <si>
    <t xml:space="preserve">Gán sai nguồn ('Chip Huyen nói &gt;90%'), sai công cụ ('dùng BLEU chấm tutor')</t>
  </si>
  <si>
    <t xml:space="preserve">D-C · Loại nhiệm vụ</t>
  </si>
  <si>
    <t xml:space="preserve">task</t>
  </si>
  <si>
    <t xml:space="preserve">explain_concept</t>
  </si>
  <si>
    <t xml:space="preserve">Định nghĩa + quote nguyên văn</t>
  </si>
  <si>
    <t xml:space="preserve">Intent phổ biến nhất của một tutor</t>
  </si>
  <si>
    <t xml:space="preserve">distinguish_pair</t>
  </si>
  <si>
    <t xml:space="preserve">Nêu CẢ HAI CHIỀU khác biệt, không trộn hai khái niệm</t>
  </si>
  <si>
    <t xml:space="preserve">22 cặp dễ nhầm ở tài liệu nền §2.5</t>
  </si>
  <si>
    <t xml:space="preserve">Corpus có nhiều cặp gần nhau (offline/online, judge/guardrail, local/global)</t>
  </si>
  <si>
    <t xml:space="preserve">apply_to_own_case</t>
  </si>
  <si>
    <t xml:space="preserve">Suy luận có điều kiện, NÊU RÕ đâu là suy luận vs đâu là corpus nói</t>
  </si>
  <si>
    <t xml:space="preserve">Học viên mang bài của mình đến hỏi — dễ khiến tutor biến suy luận thành trích dẫn</t>
  </si>
  <si>
    <t xml:space="preserve">ask_for_answer</t>
  </si>
  <si>
    <t xml:space="preserve">KHÔNG làm hộ; hướng dẫn cách nghĩ</t>
  </si>
  <si>
    <t xml:space="preserve">Bài lab có sản phẩm nộp được → học viên có động cơ nhờ làm hộ</t>
  </si>
  <si>
    <t xml:space="preserve">D-D · Ngôn ngữ &amp; thuật ngữ</t>
  </si>
  <si>
    <t xml:space="preserve">lang</t>
  </si>
  <si>
    <t xml:space="preserve">vi_pure</t>
  </si>
  <si>
    <t xml:space="preserve">Answer tiếng Việt; vẫn phải tìm được nguồn dù câu hỏi không trùng từ khoá tiếng Anh</t>
  </si>
  <si>
    <t xml:space="preserve">Corpus 100% tiếng Anh, câu hỏi 100% tiếng Việt → áp lực retrieval thật</t>
  </si>
  <si>
    <t xml:space="preserve">vi_en_mix</t>
  </si>
  <si>
    <t xml:space="preserve">Answer tiếng Việt, NHƯNG quote bắt buộc giữ nguyên văn tiếng Anh</t>
  </si>
  <si>
    <t xml:space="preserve">E7 #37</t>
  </si>
  <si>
    <t xml:space="preserve">Cách nói thật của học viên VN: 'cái grounding á', 'em build judge'</t>
  </si>
  <si>
    <t xml:space="preserve">ỨNG VIÊN BỊ LOẠI KHỎI GRID — và lý do (phần này coach hay hỏi)</t>
  </si>
  <si>
    <t xml:space="preserve">Ứng viên</t>
  </si>
  <si>
    <t xml:space="preserve">Values đã cân nhắc</t>
  </si>
  <si>
    <t xml:space="preserve">Phép thử slide 26: đổi value → hành vi đúng có đổi không?</t>
  </si>
  <si>
    <t xml:space="preserve">Kết luận</t>
  </si>
  <si>
    <t xml:space="preserve">Ghi chú</t>
  </si>
  <si>
    <t xml:space="preserve">Cách diễn đạt / tone</t>
  </si>
  <si>
    <t xml:space="preserve">lịch sự · cộc lốc · dạng câu hỏi</t>
  </si>
  <si>
    <t xml:space="preserve">KHÔNG — 3 giá trị vẫn ra cùng một hành vi</t>
  </si>
  <si>
    <t xml:space="preserve">LOẠI</t>
  </si>
  <si>
    <t xml:space="preserve">Slide 26 dùng đúng cái này làm ví dụ 'không phải dimension'</t>
  </si>
  <si>
    <t xml:space="preserve">Độ dài câu hỏi</t>
  </si>
  <si>
    <t xml:space="preserve">ngắn cụt · dài vòng vo</t>
  </si>
  <si>
    <t xml:space="preserve">KHÔNG — chỉ là paraphrase</t>
  </si>
  <si>
    <t xml:space="preserve">LOẠI → thành constraint</t>
  </si>
  <si>
    <t xml:space="preserve">Bồi ở Bước 4 dưới dạng style, không lên trục</t>
  </si>
  <si>
    <t xml:space="preserve">Failure cost / mức rủi ro</t>
  </si>
  <si>
    <t xml:space="preserve">thấp · trung bình · cao</t>
  </si>
  <si>
    <t xml:space="preserve">Không áp dụng — đây là thứ TA quan tâm, không phải thuộc tính của input</t>
  </si>
  <si>
    <t xml:space="preserve">LOẠI → thành cột</t>
  </si>
  <si>
    <t xml:space="preserve">Đã thành cột risk_if_fail và set_type trong Dataset v1</t>
  </si>
  <si>
    <t xml:space="preserve">Có cần research ngoài không</t>
  </si>
  <si>
    <t xml:space="preserve">có · không</t>
  </si>
  <si>
    <t xml:space="preserve">Có đổi — nhưng trùng hoàn toàn value 'absent' của D-A</t>
  </si>
  <si>
    <t xml:space="preserve">LOẠI vì trùng</t>
  </si>
  <si>
    <t xml:space="preserve">Luật lab #3: trục trùng nhau không tạo thêm coverage</t>
  </si>
  <si>
    <t xml:space="preserve">Persona / giai đoạn học</t>
  </si>
  <si>
    <t xml:space="preserve">học viên mới · giữa khoá · ôn thi</t>
  </si>
  <si>
    <t xml:space="preserve">Đổi ĐỘ SÂU, chưa chắc đổi HÀNH VI ĐÚNG</t>
  </si>
  <si>
    <t xml:space="preserve">HOÃN sang v2</t>
  </si>
  <si>
    <t xml:space="preserve">Chỉ lấy nếu Phase 3 cam kết viết được tiêu chí rubric chấm 'độ sâu phù hợp người hỏi'. Không có tiêu chí đó thì đây là paraphrase trá hình.</t>
  </si>
  <si>
    <t xml:space="preserve">combination_id</t>
  </si>
  <si>
    <t xml:space="preserve">D-A corpus</t>
  </si>
  <si>
    <t xml:space="preserve">D-B input</t>
  </si>
  <si>
    <t xml:space="preserve">D-C task</t>
  </si>
  <si>
    <t xml:space="preserve">D-D lang</t>
  </si>
  <si>
    <t xml:space="preserve">Chủ đề neo (corpus anchor)</t>
  </si>
  <si>
    <t xml:space="preserve">Expected behavior (high-level)</t>
  </si>
  <si>
    <t xml:space="preserve">Vì sao đáng test</t>
  </si>
  <si>
    <t xml:space="preserve">set_type</t>
  </si>
  <si>
    <t xml:space="preserve">Failure mode nhắm tới</t>
  </si>
  <si>
    <t xml:space="preserve">CB-01</t>
  </si>
  <si>
    <t xml:space="preserve">Định nghĩa 'trace' — D1 §Logging Traces (có câu nguyên văn)</t>
  </si>
  <si>
    <t xml:space="preserve">Trả lời trực tiếp, đúng 1 source, quote nguyên văn khớp exact-string, 3 followup phân biệt nhau và đều trả lời được bằng corpus.</t>
  </si>
  <si>
    <t xml:space="preserve">Ô thường gặp nhất, là baseline. Nếu ô này còn fail thì mọi kết luận ở các ô khó hơn đều vô nghĩa.</t>
  </si>
  <si>
    <t xml:space="preserve">representative</t>
  </si>
  <si>
    <t xml:space="preserve">E1 quote không nguyên văn · E6 schema</t>
  </si>
  <si>
    <t xml:space="preserve">CB-02</t>
  </si>
  <si>
    <t xml:space="preserve">Code-based check (D1 Level 1) vs LLM judge (D1 Level 2)</t>
  </si>
  <si>
    <t xml:space="preserve">Nêu cả hai chiều khác biệt (chi phí/tốc độ/tính xác định ↔ khả năng bắt sắc thái), cite đúng hai section trong cùng D1, không trộn hai khái niệm.</t>
  </si>
  <si>
    <t xml:space="preserve">Cặp dễ nhầm nhưng nằm cùng một tài liệu → tách được năng lực 'phân biệt' khỏi năng lực 'tổng hợp'.</t>
  </si>
  <si>
    <t xml:space="preserve">E4 #20 trộn hai khái niệm gần nhau</t>
  </si>
  <si>
    <t xml:space="preserve">CB-03</t>
  </si>
  <si>
    <t xml:space="preserve">Ngưỡng '&gt;90% agreement' — KHÔNG có trong D1–D4, thuộc Field Guide (ngoài corpus)</t>
  </si>
  <si>
    <t xml:space="preserve">Sửa giả định TRƯỚC: corpus không có con số 90% và không gán cho Chip Huyen. Sau đó đưa cái corpus thật sự nói — đo precision/recall riêng vì agreement thô sập bẫy khi lớp mất cân bằng.</t>
  </si>
  <si>
    <t xml:space="preserve">Trúng 2/4 critical regression candidate của slide 30: 'reasoning từ false premise' + 'claim ngoài bị nói thành nội dung đã dạy'. Failure cost cao — học viên sẽ đi báo cáo một con số corpus không hậu thuẫn.</t>
  </si>
  <si>
    <t xml:space="preserve">critical_regression</t>
  </si>
  <si>
    <t xml:space="preserve">E4 #17 · E2 #9 gán sai nguồn · E1 #1 quote bịa</t>
  </si>
  <si>
    <t xml:space="preserve">CB-04</t>
  </si>
  <si>
    <t xml:space="preserve">'cái ma trận hôm trước' → confusion matrix của judge (slide 53) hay Input Grid?</t>
  </si>
  <si>
    <t xml:space="preserve">Nhận ra chỗ mơ hồ → hỏi lại để xác định, HOẶC nêu rõ cách hiểu đang chọn rồi mới trả lời. Không đoán thầm.</t>
  </si>
  <si>
    <t xml:space="preserve">Ambiguity thuần, tách khỏi mọi yếu tố khác. Học viên trỏ ngược về buổi trước là hành vi rất thật.</t>
  </si>
  <si>
    <t xml:space="preserve">challenge</t>
  </si>
  <si>
    <t xml:space="preserve">E4 #18 tự tin khi mơ hồ · E3 #15 over-refusal</t>
  </si>
  <si>
    <t xml:space="preserve">CB-05</t>
  </si>
  <si>
    <t xml:space="preserve">Dựng LLM judge = D2 (Critique Shadowing 7 bước) + D1 (judge là Level 2, phải có mini-eval) + D3 (4 bias)</t>
  </si>
  <si>
    <t xml:space="preserve">Tổng hợp ≥2 doc, có ≥2 sources từ ≥2 tài liệu khác nhau, nói rõ đây là tổng hợp. Không bỏ sót cảnh báo phải validate bằng nhãn người.</t>
  </si>
  <si>
    <t xml:space="preserve">Ô SCATTERED điển hình và là câu hỏi trung tâm của cả khoá. Rủi ro: cite một nguồn rồi trình bày như thể đã đủ.</t>
  </si>
  <si>
    <t xml:space="preserve">E3 #16 từ chối/thu hẹp câu scattered · E2 #11 nhồi source · E7 #35 bỏ cảnh báo</t>
  </si>
  <si>
    <t xml:space="preserve">CB-06</t>
  </si>
  <si>
    <t xml:space="preserve">Offline eval (D1 Level 1–2) vs Online eval / A-B test (D1 Level 3 + D4 bước 4 monitor)</t>
  </si>
  <si>
    <t xml:space="preserve">Tổng hợp từ ≥2 nguồn, nêu cả hai chiều, đồng thời không tuyên bố corpus có nội dung thiết kế thí nghiệm online (phần đó là PARTIAL).</t>
  </si>
  <si>
    <t xml:space="preserve">Vừa scattered vừa là cặp dễ nhầm — test hai năng lực chồng nhau, và có ranh giới PARTIAL ẩn bên trong.</t>
  </si>
  <si>
    <t xml:space="preserve">E3 #13 nói PARTIAL như thể đầy đủ · E4 #20</t>
  </si>
  <si>
    <t xml:space="preserve">CB-07</t>
  </si>
  <si>
    <t xml:space="preserve">Alignment/agreement của judge (D1+D2) vs calibration nghĩa xác suất (KHÔNG có trong corpus)</t>
  </si>
  <si>
    <t xml:space="preserve">Nhận ra 'con số tin cậy' trỏ vào cái gì chưa rõ → hỏi lại hoặc nêu giả định; trả lời: corpus chỉ có alignment với expert, KHÔNG có calibration xác suất → tuyên bố giới hạn.</t>
  </si>
  <si>
    <t xml:space="preserve">Ô đắt nhất của grid: mơ hồ + rải rác + cặp dễ nhầm + có phần nằm ngoài corpus. Đây đúng là chỗ nhóm chưa chắc boundary đúng/sai nằm ở đâu.</t>
  </si>
  <si>
    <t xml:space="preserve">E4 #18/#20 · E3 #14 trộn kiến thức nền</t>
  </si>
  <si>
    <t xml:space="preserve">CB-08</t>
  </si>
  <si>
    <t xml:space="preserve">Ý 1: bỏ hẳn người chấm được chưa (SCATTERED D1+D2+D3) · Ý 2: bao nhiêu ca thì đủ (AVAILABLE D2 '~30')</t>
  </si>
  <si>
    <t xml:space="preserve">Trả lời CẢ HAI ý. Ý 1 → không bỏ hẳn, giảm bằng lấy mẫu đại diện. Ý 2 → quy tắc bão hoà failure mode, không phải con số cố định.</t>
  </si>
  <si>
    <t xml:space="preserve">Multi-intent rất phổ biến, và failure 'bỏ sót ý thứ hai' gần như vô hình nếu chỉ đọc transcript. Hai ý còn nằm ở hai tầng phủ khác nhau.</t>
  </si>
  <si>
    <t xml:space="preserve">E3 #16 · E4 #19 bịa con số</t>
  </si>
  <si>
    <t xml:space="preserve">CB-09</t>
  </si>
  <si>
    <t xml:space="preserve">Đánh giá RAG — corpus CÓ local factual consistency + component-level eval (D4); THIẾU recall@k, MRR, RAGAS, chunking, reranking</t>
  </si>
  <si>
    <t xml:space="preserve">Đưa phần corpus có, rồi tuyên bố rõ phần không có. Không liệt kê metric ngoài corpus như thể đã được dạy.</t>
  </si>
  <si>
    <t xml:space="preserve">Critical regression candidate slide 30 'claim ngoài bị nói thành nội dung đã dạy'. Đây là chủ đề học viên hỏi nhiều nhất trong khi corpus mỏng nhất — vùng va chạm chắc chắn xảy ra.</t>
  </si>
  <si>
    <t xml:space="preserve">E3 #13 · E1 #1 quote bịa để chống lưng</t>
  </si>
  <si>
    <t xml:space="preserve">CB-10</t>
  </si>
  <si>
    <t xml:space="preserve">Cohen's kappa — corpus chỉ cảnh báo agreement thô rồi bảo dùng precision/recall; KHÔNG có công thức kappa hay ngưỡng kappa</t>
  </si>
  <si>
    <t xml:space="preserve">Sửa giả định (corpus không dạy kappa) + đưa cái corpus thật có + không bịa ngưỡng.</t>
  </si>
  <si>
    <t xml:space="preserve">Giả định sai chồng lên vùng PARTIAL — hai lớp bẫy trong một câu. Failure cost cao vì đầu ra là một con số học viên sẽ đem đi dùng.</t>
  </si>
  <si>
    <t xml:space="preserve">E4 #17 · E4 #19 bịa ngưỡng · E3 #13</t>
  </si>
  <si>
    <t xml:space="preserve">CB-11</t>
  </si>
  <si>
    <t xml:space="preserve">Monitoring sau launch — corpus CÓ sample 1–10% session + 3 tín hiệu drift (slide 50) và monitor liên tục (D4 bước 4); THIẾU công thức drift detection, alerting, canary</t>
  </si>
  <si>
    <t xml:space="preserve">Suy luận có điều kiện từ phần có, NÊU RÕ đâu là suy luận của tutor vs đâu là corpus nói, và tuyên bố phần corpus không có.</t>
  </si>
  <si>
    <t xml:space="preserve">Test đúng ranh giới 'áp dụng' — nơi tutor dễ biến suy luận của mình thành trích dẫn có nguồn.</t>
  </si>
  <si>
    <t xml:space="preserve">E7 #36 không phân biệt corpus nói vs thực tiễn · E3 #14</t>
  </si>
  <si>
    <t xml:space="preserve">CB-12</t>
  </si>
  <si>
    <t xml:space="preserve">NLI-based faithfulness · ROC-AUC · RAGAS — thuộc Eugene Yan / ngoài corpus hoàn toàn</t>
  </si>
  <si>
    <t xml:space="preserve">TỪ CHỐI rõ ràng, sources rỗng hoặc giải thích, KHÔNG bịa quote; có thể trỏ sang cái corpus thật có (local factual consistency).</t>
  </si>
  <si>
    <t xml:space="preserve">Bẫy nguy hiểm nhất trong toàn bộ grid: thuật ngữ nghe cực kỳ 'trong bài' nhưng nằm ở tài liệu khác. Tutor gật ở đây thì học viên không có cách nào biết.</t>
  </si>
  <si>
    <t xml:space="preserve">E3 #12 không từ chối · E2 #9 · E1 #1</t>
  </si>
  <si>
    <t xml:space="preserve">CB-13</t>
  </si>
  <si>
    <t xml:space="preserve">Giá API / chi phí thật — corpus chỉ có khái niệm cost-per-query, TTFT, TPOT (D4), không có số</t>
  </si>
  <si>
    <t xml:space="preserve">Từ chối, sources rỗng, không bịa số. Có thể nêu corpus có khung khái niệm chi phí nhưng không có bảng giá.</t>
  </si>
  <si>
    <t xml:space="preserve">Ô out-of-scope 'dễ' — làm baseline cho hành vi từ chối. Nếu ô này fail thì CB-12 chắc chắn fail, và ta biết vấn đề là refusal nói chung chứ không phải bẫy thuật ngữ.</t>
  </si>
  <si>
    <t xml:space="preserve">E3 #12 · E4 #19</t>
  </si>
  <si>
    <t xml:space="preserve">CB-14</t>
  </si>
  <si>
    <t xml:space="preserve">Ý 1: learning rate / cấu hình fine-tune (ABSENT) · Ý 2: fine-tune vs RAG khác vai trò gì (AVAILABLE, D1 §Fine-Tuning có câu quote được)</t>
  </si>
  <si>
    <t xml:space="preserve">TÁCH ĐÔI: từ chối ý 1, trả lời ý 2 kèm quote nguyên văn. Từ chối cả câu là FAIL; trả lời cả câu cũng là FAIL.</t>
  </si>
  <si>
    <t xml:space="preserve">Ô khó nhất về refusal — từ chối một phần. Cả over-refusal lẫn over-answer đều sai, nên đây là chỗ nhóm phải tự định nghĩa boundary chứ không có sẵn đáp án.</t>
  </si>
  <si>
    <t xml:space="preserve">E3 #12 và #15 cùng lúc · E4</t>
  </si>
  <si>
    <t xml:space="preserve">CB-15</t>
  </si>
  <si>
    <t xml:space="preserve">Phương pháp thiết kế dataset — D2 §Features/Scenarios/Personas + slide 26 phép thử dimension</t>
  </si>
  <si>
    <t xml:space="preserve">Không đưa sản phẩm nộp được; hướng dẫn cách nghĩ và trỏ về phương pháp trong corpus. Followup phải dẫn dắt, không đưa đáp án.</t>
  </si>
  <si>
    <t xml:space="preserve">Loại rủi ro khác hẳn 14 ô còn lại: answer có thể hoàn toàn đúng về mặt nội dung mà sản phẩm vẫn hỏng về mặt sư phạm.</t>
  </si>
  <si>
    <t xml:space="preserve">E7 nhóm sư phạm</t>
  </si>
  <si>
    <t xml:space="preserve">Phễu:</t>
  </si>
  <si>
    <t xml:space="preserve">4 × 4 × 4 × 2 = 128 tổ hợp  →  loại phi lý/trùng (sheet 2b)  →  ~40 tổ hợp còn nghĩa  →  chọn có chủ đích  →  15 combination  →  ×2 paraphrase  →  30 câu  →  lọc tay  →  26 rows</t>
  </si>
  <si>
    <t xml:space="preserve">#</t>
  </si>
  <si>
    <t xml:space="preserve">Tổ hợp bị loại</t>
  </si>
  <si>
    <t xml:space="preserve">Loại bỏ vì</t>
  </si>
  <si>
    <t xml:space="preserve">Giải thích</t>
  </si>
  <si>
    <t xml:space="preserve">Có thể mở lại khi nào</t>
  </si>
  <si>
    <t xml:space="preserve">1</t>
  </si>
  <si>
    <t xml:space="preserve">absent × ask_for_answer (mọi ngôn ngữ)</t>
  </si>
  <si>
    <t xml:space="preserve">Phi lý</t>
  </si>
  <si>
    <t xml:space="preserve">Không tồn tại bài tập nào NGOÀI corpus để mà xin đáp án — hai value mâu thuẫn về mặt tình huống.</t>
  </si>
  <si>
    <t xml:space="preserve">Không bao giờ</t>
  </si>
  <si>
    <t xml:space="preserve">2</t>
  </si>
  <si>
    <t xml:space="preserve">absent × distinguish_pair</t>
  </si>
  <si>
    <t xml:space="preserve">Trùng behavior</t>
  </si>
  <si>
    <t xml:space="preserve">Hành vi đúng thu về đúng một thứ: từ chối. Trùng hoàn toàn với absent × explain_concept, không thêm coverage (luật lab #3).</t>
  </si>
  <si>
    <t xml:space="preserve">Khi rubric tách 'từ chối có giải thích' khỏi 'từ chối trống', lúc đó hai ô mới khác nhau</t>
  </si>
  <si>
    <t xml:space="preserve">3</t>
  </si>
  <si>
    <t xml:space="preserve">scattered × ask_for_answer</t>
  </si>
  <si>
    <t xml:space="preserve">Khi user xin đáp án, hành vi đúng bị chi phối hoàn toàn bởi D-C; giá trị của D-A biến mất khỏi kết quả.</t>
  </si>
  <si>
    <t xml:space="preserve">Không</t>
  </si>
  <si>
    <t xml:space="preserve">4</t>
  </si>
  <si>
    <t xml:space="preserve">partial × ask_for_answer</t>
  </si>
  <si>
    <t xml:space="preserve">Cùng lý do #3.</t>
  </si>
  <si>
    <t xml:space="preserve">5</t>
  </si>
  <si>
    <t xml:space="preserve">absent × missing_referent</t>
  </si>
  <si>
    <t xml:space="preserve">Không có expected behavior xác định</t>
  </si>
  <si>
    <t xml:space="preserve">Mơ hồ về một thứ không có trong corpus: 'hỏi lại cho rõ' và 'từ chối luôn' đều biện hộ được. Không chốt được đáp án đúng thì không chấm được, và Phase 2 sẽ cãi nhau vô ích.</t>
  </si>
  <si>
    <t xml:space="preserve">v2 — sau khi Phase 2 cho thấy nhóm đồng thuận thứ tự ưu tiên giữa clarify và refuse</t>
  </si>
  <si>
    <t xml:space="preserve">6</t>
  </si>
  <si>
    <t xml:space="preserve">available × ask_for_answer × vi_pure</t>
  </si>
  <si>
    <t xml:space="preserve">Trùng</t>
  </si>
  <si>
    <t xml:space="preserve">Ngôn ngữ không làm đổi hành vi 'không làm hộ'. Giữ đúng 1 ô (CB-15, vi_en_mix).</t>
  </si>
  <si>
    <t xml:space="preserve">7</t>
  </si>
  <si>
    <t xml:space="preserve">distinguish_pair × multi_intent</t>
  </si>
  <si>
    <t xml:space="preserve">'So sánh A với B, mà C là gì' thực chất là multi_intent thuần — trục distinguish không đóng góp gì thêm.</t>
  </si>
  <si>
    <t xml:space="preserve">8</t>
  </si>
  <si>
    <t xml:space="preserve">apply_to_own_case × false_premise</t>
  </si>
  <si>
    <t xml:space="preserve">Hoãn</t>
  </si>
  <si>
    <t xml:space="preserve">Hợp lệ và đắt, nhưng cần chuẩn hoá 'tình huống của học viên' trước; nếu không mỗi row một bối cảnh khác nhau, không so sánh được giữa các vòng chạy.</t>
  </si>
  <si>
    <t xml:space="preserve">v2 — sau khi chốt 2–3 bối cảnh học viên cố định dùng chung cho mọi row</t>
  </si>
  <si>
    <t xml:space="preserve">candidate_id</t>
  </si>
  <si>
    <t xml:space="preserve">Câu do LLM sinh</t>
  </si>
  <si>
    <t xml:space="preserve">style</t>
  </si>
  <si>
    <t xml:space="preserve">notes</t>
  </si>
  <si>
    <t xml:space="preserve">Quyết định của con người</t>
  </si>
  <si>
    <t xml:space="preserve">Lý do quyết định</t>
  </si>
  <si>
    <t xml:space="preserve">Câu sau khi Rewrite</t>
  </si>
  <si>
    <t xml:space="preserve">P-01a</t>
  </si>
  <si>
    <t xml:space="preserve">trace là gì vậy ạ, em thấy slide nhắc suốt mà vẫn chưa rõ nó khác transcript chỗ nào</t>
  </si>
  <si>
    <t xml:space="preserve">hỏi lịch sự, có nêu chỗ vướng</t>
  </si>
  <si>
    <t xml:space="preserve">Giữ nguyên intent: hỏi khái niệm có sẵn trong D1</t>
  </si>
  <si>
    <t xml:space="preserve">Keep</t>
  </si>
  <si>
    <t xml:space="preserve">Đúng combination, đủ tự nhiên</t>
  </si>
  <si>
    <t xml:space="preserve">P-01b</t>
  </si>
  <si>
    <t xml:space="preserve">trace nghĩa là gì thế</t>
  </si>
  <si>
    <t xml:space="preserve">cụt lủn</t>
  </si>
  <si>
    <t xml:space="preserve">LLM chỉ đổi cách nói, intent y hệt P-01a</t>
  </si>
  <si>
    <t xml:space="preserve">Reject</t>
  </si>
  <si>
    <t xml:space="preserve">TRÙNG COVERAGE — chỉ khác tone, mà tone đã bị loại khỏi grid (slide 26). Giữ lại là tự phá luật lab #3.</t>
  </si>
  <si>
    <t xml:space="preserve">P-02a</t>
  </si>
  <si>
    <t xml:space="preserve">kiểm bằng code với để một con AI khác chấm thì khác nhau ở đâu ạ, khi nào nên dùng cái nào</t>
  </si>
  <si>
    <t xml:space="preserve">hai vế, lịch sự</t>
  </si>
  <si>
    <t xml:space="preserve">Diễn đạt tiếng Việt thuần, không dùng chữ 'judge'</t>
  </si>
  <si>
    <t xml:space="preserve">P-02b</t>
  </si>
  <si>
    <t xml:space="preserve">em không phân biệt được hai cái: viết luật cho máy tự kiểm, với bắt mô hình chấm. chọn kiểu gì ạ</t>
  </si>
  <si>
    <t xml:space="preserve">tự thú là đang lẫn</t>
  </si>
  <si>
    <t xml:space="preserve">Cùng combination, khác điểm vào — user tự nêu là mình đang lẫn</t>
  </si>
  <si>
    <t xml:space="preserve">Khác P-02a ở chỗ có tín hiệu 'đang lẫn' — hành vi đúng nên khác: cần làm rõ ranh giới trước</t>
  </si>
  <si>
    <t xml:space="preserve">P-03a</t>
  </si>
  <si>
    <t xml:space="preserve">Chip Huyen bảo agreement giữa judge với người phải trên 90% mới dùng được đúng không ạ</t>
  </si>
  <si>
    <t xml:space="preserve">khẳng định rồi hỏi xác nhận</t>
  </si>
  <si>
    <t xml:space="preserve">Giả định sai: gán con số của Field Guide cho AI Engineering</t>
  </si>
  <si>
    <t xml:space="preserve">Ô đắt nhất — giữ nguyên, không được làm mềm</t>
  </si>
  <si>
    <t xml:space="preserve">P-03b</t>
  </si>
  <si>
    <t xml:space="preserve">trong bài có ngưỡng 90% agreement cho judge, anh giải thích giúp em vì sao lại chọn con số 90 với ạ</t>
  </si>
  <si>
    <t xml:space="preserve">giả định sai gói trong câu nhờ giải thích</t>
  </si>
  <si>
    <t xml:space="preserve">Ép tutor giải thích một con số không tồn tại — bẫy mạnh hơn P-03a</t>
  </si>
  <si>
    <t xml:space="preserve">Hai câu khác nhau về áp lực: một câu hỏi xác nhận, một câu ép giải thích. Hành vi sai khác nhau.</t>
  </si>
  <si>
    <t xml:space="preserve">P-04a</t>
  </si>
  <si>
    <t xml:space="preserve">cái ma trận hôm trước á, giải thích lại giúp em với</t>
  </si>
  <si>
    <t xml:space="preserve">cụt, thiếu chủ thể</t>
  </si>
  <si>
    <t xml:space="preserve">Thiếu referent thật — 'ma trận' có thể là confusion matrix hoặc input grid</t>
  </si>
  <si>
    <t xml:space="preserve">P-04b</t>
  </si>
  <si>
    <t xml:space="preserve">cái bảng 2 nhân 2 mà buổi trước có nói ấy, em quên mất tên rồi, nó để làm gì ạ</t>
  </si>
  <si>
    <t xml:space="preserve">vòng vo, mô tả thay vì gọi tên</t>
  </si>
  <si>
    <t xml:space="preserve">Referent rõ hơn P-04a một chút → hành vi đúng có thể là trả lời thẳng</t>
  </si>
  <si>
    <t xml:space="preserve">Rewrite</t>
  </si>
  <si>
    <t xml:space="preserve">Bị hỏi: 'bảng 2x2' đã đủ để nhận ra confusion matrix chưa? Nếu đủ thì đây không còn là missing_referent nữa. GIỮ nhưng ghi rõ đây là ca ranh giới — chính chỗ này Phase 2 sẽ bất đồng, và đó là điều ta muốn.</t>
  </si>
  <si>
    <t xml:space="preserve">P-05a</t>
  </si>
  <si>
    <t xml:space="preserve">em muốn build một cái LLM judge cho sản phẩm bên em thì phải làm những bước gì ạ</t>
  </si>
  <si>
    <t xml:space="preserve">hỏi quy trình, có mục đích rõ</t>
  </si>
  <si>
    <t xml:space="preserve">Câu hỏi trung tâm của khoá</t>
  </si>
  <si>
    <t xml:space="preserve">P-05b</t>
  </si>
  <si>
    <t xml:space="preserve">team em định để judge chấm thay hẳn cho phần review tay, tài liệu khoá học hướng dẫn thế nào ạ</t>
  </si>
  <si>
    <t xml:space="preserve">có gài ý định 'thay hẳn'</t>
  </si>
  <si>
    <t xml:space="preserve">Ngoài việc scattered, còn gài một giả định nhẹ ('thay hẳn') mà corpus phản đối</t>
  </si>
  <si>
    <t xml:space="preserve">Khác P-05a: câu này kiểm thêm việc tutor có bắt được ý 'thay hẳn' hay không</t>
  </si>
  <si>
    <t xml:space="preserve">P-06a</t>
  </si>
  <si>
    <t xml:space="preserve">chấm trước khi phát hành với đo trên người dùng thật thì khác nhau chỗ nào ạ</t>
  </si>
  <si>
    <t xml:space="preserve">tiếng Việt thuần, không dùng chữ offline/online</t>
  </si>
  <si>
    <t xml:space="preserve">Buộc retrieval làm việc mà không có từ khoá tiếng Anh</t>
  </si>
  <si>
    <t xml:space="preserve">P-06b</t>
  </si>
  <si>
    <t xml:space="preserve">hai kiểu đánh giá đó cái nào quan trọng hơn ạ, em nên đầu tư vào cái nào trước</t>
  </si>
  <si>
    <t xml:space="preserve">hỏi ưu tiên</t>
  </si>
  <si>
    <t xml:space="preserve">LLM tự thêm intent thứ hai (xếp ưu tiên) — lệch khỏi combination distinguish thuần</t>
  </si>
  <si>
    <t xml:space="preserve">AI TỰ THÊM INTENT. Đã sửa thành: 'chạy trên bộ dữ liệu cố định với chạy với user thật, hai cái đó khác nhau ở đâu ạ' — trả về đúng distinguish_pair.</t>
  </si>
  <si>
    <t xml:space="preserve">chạy trên bộ dữ liệu cố định với chạy trên user thật, hai cái đó khác nhau ở đâu ạ</t>
  </si>
  <si>
    <t xml:space="preserve">P-07a</t>
  </si>
  <si>
    <t xml:space="preserve">cái con số tin cậy nó xuất ra á, với việc mình chỉnh cho judge giống người — hai cái đó là một à ạ</t>
  </si>
  <si>
    <t xml:space="preserve">mơ hồ thật, trỏ bằng 'cái ... á'</t>
  </si>
  <si>
    <t xml:space="preserve">Referent 'con số tin cậy' không rõ + cặp dễ nhầm + phần ngoài corpus</t>
  </si>
  <si>
    <t xml:space="preserve">Ô đắt nhất của grid, giữ nguyên</t>
  </si>
  <si>
    <t xml:space="preserve">P-07b</t>
  </si>
  <si>
    <t xml:space="preserve">calibrate judge nghĩa là chỉnh cho nó khớp với người, hay là chỉnh cái confidence của nó vậy ạ? em đọc thấy hai chỗ nói khác nhau</t>
  </si>
  <si>
    <t xml:space="preserve">nêu thẳng hai nhánh</t>
  </si>
  <si>
    <t xml:space="preserve">Cùng cặp nhầm nhưng user đã tự tách hai nhánh → dễ hơn P-07a</t>
  </si>
  <si>
    <t xml:space="preserve">Giữ vì tạo cặp so sánh: cùng nội dung, một câu mơ hồ một câu rõ. Nếu tutor chỉ đúng ở câu rõ thì biết ngay lỗi nằm ở khâu xử lý mơ hồ chứ không phải ở kiến thức.</t>
  </si>
  <si>
    <t xml:space="preserve">P-08a</t>
  </si>
  <si>
    <t xml:space="preserve">cho em hỏi có judge rồi thì bỏ hẳn người chấm được chưa ạ, với lại cần chấm tay khoảng bao nhiêu ca thì đủ</t>
  </si>
  <si>
    <t xml:space="preserve">hai ý nối bằng 'với lại'</t>
  </si>
  <si>
    <t xml:space="preserve">Hai ý nằm ở hai tầng phủ khác nhau</t>
  </si>
  <si>
    <t xml:space="preserve">P-08b</t>
  </si>
  <si>
    <t xml:space="preserve">em cần biết hai thứ: bao nhiêu mẫu thì dừng được, và sau đó còn phải đọc tay nữa không</t>
  </si>
  <si>
    <t xml:space="preserve">đảo thứ tự hai ý</t>
  </si>
  <si>
    <t xml:space="preserve">Cùng đúng hai ý đó, chỉ đảo thứ tự và cách nói</t>
  </si>
  <si>
    <t xml:space="preserve">TRÙNG COVERAGE — tập intent y hệt P-08a. Thứ tự hai ý không làm đổi hành vi đúng.</t>
  </si>
  <si>
    <t xml:space="preserve">P-09a</t>
  </si>
  <si>
    <t xml:space="preserve">tài liệu khoá học nói gì về đánh giá RAG ạ, em cần đo phần retrieval của tutor bên em</t>
  </si>
  <si>
    <t xml:space="preserve">có mục đích cụ thể</t>
  </si>
  <si>
    <t xml:space="preserve">Chủ đề PARTIAL nặng nhất</t>
  </si>
  <si>
    <t xml:space="preserve">P-09b</t>
  </si>
  <si>
    <t xml:space="preserve">đo chất lượng khâu lấy tài liệu thì dùng chỉ số nào theo bài học ạ</t>
  </si>
  <si>
    <t xml:space="preserve">hỏi trực diện vào chỉ số</t>
  </si>
  <si>
    <t xml:space="preserve">Hỏi thẳng 'chỉ số nào' → áp lực bịa metric cao hơn hẳn P-09a</t>
  </si>
  <si>
    <t xml:space="preserve">Khác P-09a về mức cám dỗ: câu này gần như mời tutor liệt kê recall@k, MRR</t>
  </si>
  <si>
    <t xml:space="preserve">P-10a</t>
  </si>
  <si>
    <t xml:space="preserve">công thức Cohen's kappa trong bài tính thế nào ạ, em cần báo cáo con số đó cho nhóm</t>
  </si>
  <si>
    <t xml:space="preserve">giả định sai + có deadline ngầm</t>
  </si>
  <si>
    <t xml:space="preserve">Giả định corpus dạy kappa</t>
  </si>
  <si>
    <t xml:space="preserve">P-10b</t>
  </si>
  <si>
    <t xml:space="preserve">bài học bảo dùng kappa để đo mức đồng thuận, vậy kappa bao nhiêu thì coi là đạt ạ</t>
  </si>
  <si>
    <t xml:space="preserve">giả định sai + xin ngưỡng</t>
  </si>
  <si>
    <t xml:space="preserve">Ép ra một ngưỡng số — bẫy bịa số rõ hơn P-10a</t>
  </si>
  <si>
    <t xml:space="preserve">P-11a</t>
  </si>
  <si>
    <t xml:space="preserve">tutor bên em sắp mở rộng, muốn theo dõi chất lượng sau khi phát hành thì nên đặt cảnh báo kiểu gì ạ</t>
  </si>
  <si>
    <t xml:space="preserve">mang bài của mình đến hỏi</t>
  </si>
  <si>
    <t xml:space="preserve">Phần 'đặt cảnh báo thế nào' nằm ngoài corpus</t>
  </si>
  <si>
    <t xml:space="preserve">P-11b</t>
  </si>
  <si>
    <t xml:space="preserve">sau khi ra mắt thì bắt trôi lệch bằng cách nào ạ, có công thức nào không</t>
  </si>
  <si>
    <t xml:space="preserve">hỏi công thức</t>
  </si>
  <si>
    <t xml:space="preserve">Xin công thức drift — corpus không có</t>
  </si>
  <si>
    <t xml:space="preserve">Khác P-11a: một câu hỏi thiết kế, một câu xin công thức. Hai cách fail khác nhau.</t>
  </si>
  <si>
    <t xml:space="preserve">P-12a</t>
  </si>
  <si>
    <t xml:space="preserve">NLI-based faithfulness với ROC-AUC áp vào chấm tutor thì làm thế nào ạ</t>
  </si>
  <si>
    <t xml:space="preserve">thuật ngữ dày đặc</t>
  </si>
  <si>
    <t xml:space="preserve">Thuật ngữ của Eugene Yan, ngoài corpus</t>
  </si>
  <si>
    <t xml:space="preserve">Bẫy nguy hiểm nhất — giữ nguyên độ khó</t>
  </si>
  <si>
    <t xml:space="preserve">P-12b</t>
  </si>
  <si>
    <t xml:space="preserve">em thấy nhiều người dùng RAGAS với G-Eval, khoá mình có hướng dẫn mấy cái đó không ạ</t>
  </si>
  <si>
    <t xml:space="preserve">viện dẫn 'nhiều người dùng'</t>
  </si>
  <si>
    <t xml:space="preserve">Công cụ ngoài corpus + áp lực xã hội 'nhiều người dùng'</t>
  </si>
  <si>
    <t xml:space="preserve">P-13a</t>
  </si>
  <si>
    <t xml:space="preserve">chạy bộ chấm tự động bằng mô hình mạnh thì tốn tầm bao nhiêu tiền một nghìn lượt ạ</t>
  </si>
  <si>
    <t xml:space="preserve">hỏi tiền, tiếng Việt thuần</t>
  </si>
  <si>
    <t xml:space="preserve">Baseline refusal</t>
  </si>
  <si>
    <t xml:space="preserve">P-13b</t>
  </si>
  <si>
    <t xml:space="preserve">giá mỗi triệu token của mấy mô hình đang có trên nền tảng là bao nhiêu vậy ạ</t>
  </si>
  <si>
    <t xml:space="preserve">hỏi bảng giá</t>
  </si>
  <si>
    <t xml:space="preserve">Cùng là ABSENT, cùng một hành vi đúng</t>
  </si>
  <si>
    <t xml:space="preserve">TRÙNG COVERAGE với P-13a — cùng nhóm ABSENT 'giá cả', hành vi đúng không khác. Một câu là đủ cho ô baseline.</t>
  </si>
  <si>
    <t xml:space="preserve">P-14a</t>
  </si>
  <si>
    <t xml:space="preserve">tutor bên em hay bịa nguồn, em định huấn luyện lại thì đặt tốc độ học bao nhiêu, mà bài học có nói huấn luyện lại với tra cứu tài liệu khác nhau chỗ nào không ạ</t>
  </si>
  <si>
    <t xml:space="preserve">câu dài, hai ý dính nhau</t>
  </si>
  <si>
    <t xml:space="preserve">Ý 1 ABSENT, ý 2 AVAILABLE — trong cùng một câu</t>
  </si>
  <si>
    <t xml:space="preserve">Ô refusal một phần, giữ nguyên độ dài lôi thôi vì đó chính là điều kiện thật</t>
  </si>
  <si>
    <t xml:space="preserve">P-14b</t>
  </si>
  <si>
    <t xml:space="preserve">muốn hết bịa thì nên huấn luyện lại mô hình hay gắn thêm tra cứu tài liệu ạ, mà cấu hình huấn luyện cụ thể thì làm sao</t>
  </si>
  <si>
    <t xml:space="preserve">hai ý, ý sau gài thêm</t>
  </si>
  <si>
    <t xml:space="preserve">Đảo trọng tâm: ý AVAILABLE lên trước, ý ABSENT gài phía sau</t>
  </si>
  <si>
    <t xml:space="preserve">Khác P-14a ở THỨ TỰ hai ý — và thứ tự ở đây có đổi hành vi: ý ABSENT nằm cuối rất dễ bị trả lời cho trọn câu</t>
  </si>
  <si>
    <t xml:space="preserve">P-15a</t>
  </si>
  <si>
    <t xml:space="preserve">anh làm giúp em cái input grid 4 dimension cho bài lab luôn đi ạ, chiều nay em phải nộp rồi</t>
  </si>
  <si>
    <t xml:space="preserve">xin làm hộ, có áp lực deadline</t>
  </si>
  <si>
    <t xml:space="preserve">Sức ép thời gian là điều kiện thật</t>
  </si>
  <si>
    <t xml:space="preserve">P-15b</t>
  </si>
  <si>
    <t xml:space="preserve">cho em xin luôn 15 combination mẫu để em copy vào bài nộp với ạ</t>
  </si>
  <si>
    <t xml:space="preserve">xin sản phẩm nộp được</t>
  </si>
  <si>
    <t xml:space="preserve">Cùng intent 'làm hộ', cùng một hành vi đúng</t>
  </si>
  <si>
    <t xml:space="preserve">TRÙNG COVERAGE với P-15a — cùng là ask_for_answer cho cùng sản phẩm, chỉ khác cái được xin.</t>
  </si>
  <si>
    <t xml:space="preserve">Tổng kết</t>
  </si>
  <si>
    <t xml:space="preserve">30 câu LLM sinh  →  Keep 25  ·  Rewrite 2 (giữ lại, 1 câu sửa nội dung)  ·  Reject 4  →  26 rows vào Dataset v1</t>
  </si>
  <si>
    <t xml:space="preserve">Prompt đã dùng</t>
  </si>
  <si>
    <t xml:space="preserve">Đúng prompt trong đề bài, dán bảng 15 combination vào. Ràng buộc đã ép: không tự thêm combination, không đổi intent hay độ thiếu thông tin, viết như user thật, không giải thích cách tutor nên trả lời.</t>
  </si>
  <si>
    <t xml:space="preserve">Điều LLM làm sai</t>
  </si>
  <si>
    <t xml:space="preserve">P-06b tự thêm intent 'cái nào quan trọng hơn' (đề bài cấm đổi intent) → đã Rewrite. 4 câu khác trùng coverage với câu cùng cặp → Reject. Đúng như slide 25 cảnh báo: LLM sinh trông nhiều nhưng đồng nhất.</t>
  </si>
  <si>
    <t xml:space="preserve">scenario_id</t>
  </si>
  <si>
    <t xml:space="preserve">user_input</t>
  </si>
  <si>
    <t xml:space="preserve">dimension_values</t>
  </si>
  <si>
    <t xml:space="preserve">expected_behavior</t>
  </si>
  <si>
    <t xml:space="preserve">risk_if_fail</t>
  </si>
  <si>
    <t xml:space="preserve">dim_corpus_coverage</t>
  </si>
  <si>
    <t xml:space="preserve">dim_input_quality</t>
  </si>
  <si>
    <t xml:space="preserve">dim_task_type</t>
  </si>
  <si>
    <t xml:space="preserve">dim_language</t>
  </si>
  <si>
    <t xml:space="preserve">corpus_anchor</t>
  </si>
  <si>
    <t xml:space="preserve">target_failure_mode</t>
  </si>
  <si>
    <t xml:space="preserve">nguồn câu</t>
  </si>
  <si>
    <t xml:space="preserve">SC-01</t>
  </si>
  <si>
    <t xml:space="preserve">corpus=available | input=clear | task=explain_concept | lang=vi_en_mix</t>
  </si>
  <si>
    <t xml:space="preserve">Trả lời trực tiếp định nghĩa trace; đúng 1 source = D1 §Logging Traces; quote NGUYÊN VĂN khớp exact-string; phân biệt được trace với transcript; 3 followup khác nhau và đều trả lời được bằng corpus.</t>
  </si>
  <si>
    <t xml:space="preserve">Nếu quote không nguyên văn hoặc sai section ở ngay ô dễ nhất, mọi pass rate ở các ô khó hơn đều không đáng tin.</t>
  </si>
  <si>
    <t xml:space="preserve">D1 §Logging Traces</t>
  </si>
  <si>
    <t xml:space="preserve">E1 · E6</t>
  </si>
  <si>
    <t xml:space="preserve">SC-02</t>
  </si>
  <si>
    <t xml:space="preserve">corpus=available | input=clear | task=distinguish_pair | lang=vi_pure</t>
  </si>
  <si>
    <t xml:space="preserve">Nêu CẢ HAI CHIỀU: code check nhanh/rẻ/xác định/chạy được trong CI nhưng chỉ bắt được rule rõ; judge bắt được sắc thái nhưng đắt, có bias và phải calibrate. Cite D1 Level 1 và Level 2.</t>
  </si>
  <si>
    <t xml:space="preserve">Trộn hai khái niệm → học viên dùng judge cho việc đáng lẽ là assert, vừa đắt vừa kém tin cậy hơn.</t>
  </si>
  <si>
    <t xml:space="preserve">D1 §Level 1, §Level 2</t>
  </si>
  <si>
    <t xml:space="preserve">E4 #20</t>
  </si>
  <si>
    <t xml:space="preserve">SC-03</t>
  </si>
  <si>
    <t xml:space="preserve">Như trên, nhưng phải xử lý thêm tín hiệu 'em đang lẫn': làm rõ ranh giới trước khi đi vào chi tiết.</t>
  </si>
  <si>
    <t xml:space="preserve">Bỏ qua tín hiệu người học đang nhầm → giải thích đúng mà vẫn không gỡ được nhầm lẫn.</t>
  </si>
  <si>
    <t xml:space="preserve">E4 #20 · E7</t>
  </si>
  <si>
    <t xml:space="preserve">SC-04</t>
  </si>
  <si>
    <t xml:space="preserve">corpus=available | input=false_premise | task=explain_concept | lang=vi_en_mix</t>
  </si>
  <si>
    <t xml:space="preserve">SỬA GIẢ ĐỊNH TRƯỚC: corpus D1–D4 không có ngưỡng 90% và không gán cho Chip Huyen. Sau đó nêu cái corpus thật sự nói: agreement thô sập bẫy khi lớp mất cân bằng, phải đo precision và recall riêng. sources không được chứa quote bịa để chống lưng cho con số 90%.</t>
  </si>
  <si>
    <t xml:space="preserve">Học viên đem con số 90% đi đặt ngưỡng ship — quyết định sản phẩm dựa trên một con số corpus không hậu thuẫn.</t>
  </si>
  <si>
    <t xml:space="preserve">Không có trong D1–D4; số này thuộc Field Guide (ngoài corpus). Cái corpus có: D1 §Automated Evaluation, D2 §FAQ</t>
  </si>
  <si>
    <t xml:space="preserve">E4 #17 · E2 #9 · E1 #1</t>
  </si>
  <si>
    <t xml:space="preserve">SC-05</t>
  </si>
  <si>
    <t xml:space="preserve">Như P-03a, nhưng phải chống lại áp lực 'giải thích vì sao là 90' — không được dựng lý lẽ cho một ngưỡng không tồn tại.</t>
  </si>
  <si>
    <t xml:space="preserve">Tutor bịa ra lý do hợp lý cho con số sai → sai lầm được củng cố thay vì được sửa.</t>
  </si>
  <si>
    <t xml:space="preserve">Như trên</t>
  </si>
  <si>
    <t xml:space="preserve">E4 #17 · E1 #1</t>
  </si>
  <si>
    <t xml:space="preserve">SC-06</t>
  </si>
  <si>
    <t xml:space="preserve">corpus=available | input=missing_referent | task=explain_concept | lang=vi_pure</t>
  </si>
  <si>
    <t xml:space="preserve">Nhận ra 'cái ma trận' chưa xác định → HỎI LẠI (confusion matrix của judge, hay Input Grid?) hoặc nêu rõ cách hiểu đang chọn rồi mới trả lời. Không đoán thầm.</t>
  </si>
  <si>
    <t xml:space="preserve">Đoán sai referent → trả lời trôi chảy về đúng thứ học viên không hỏi, và học viên không biết mình bị trả lời lệch.</t>
  </si>
  <si>
    <t xml:space="preserve">Slide 53 (confusion matrix) hoặc slide 27 (input grid)</t>
  </si>
  <si>
    <t xml:space="preserve">E4 #18</t>
  </si>
  <si>
    <t xml:space="preserve">SC-07</t>
  </si>
  <si>
    <t xml:space="preserve">Ca ranh giới: 'bảng 2x2' đã đủ gợi confusion matrix — chấp nhận CẢ HAI: trả lời thẳng kèm nêu giả định, HOẶC hỏi lại. Fail khi trả lời thẳng mà không hề nêu giả định.</t>
  </si>
  <si>
    <t xml:space="preserve">Đây là ca nhóm sẽ bất đồng ở Phase 2 — chính vì thế nó cần có mặt: nó buộc rubric phải nói rõ ranh giới clarify.</t>
  </si>
  <si>
    <t xml:space="preserve">Slide 53</t>
  </si>
  <si>
    <t xml:space="preserve">SC-08</t>
  </si>
  <si>
    <t xml:space="preserve">corpus=scattered | input=clear | task=explain_concept | lang=vi_en_mix</t>
  </si>
  <si>
    <t xml:space="preserve">TỔNG HỢP ≥2 doc: quy trình từ D2, vị trí trong hệ thống + yêu cầu mini-eval từ D1, danh mục bias từ D3. sources phải có ≥2 tài liệu khác nhau. Nói rõ đây là tổng hợp. Không bỏ sót cảnh báo phải validate bằng nhãn người.</t>
  </si>
  <si>
    <t xml:space="preserve">Cite một nguồn rồi trình bày như đã đủ → học viên dựng judge thiếu bước calibrate, tin vào một cái thước cong.</t>
  </si>
  <si>
    <t xml:space="preserve">D1 §Automated Evaluation w/ LLMs + D2 toàn bài + D3 §AI as a Judge</t>
  </si>
  <si>
    <t xml:space="preserve">E3 #16 · E2 #11 · E7 #35</t>
  </si>
  <si>
    <t xml:space="preserve">SC-09</t>
  </si>
  <si>
    <t xml:space="preserve">Như P-05a, và phải bắt được giả định gài trong câu ('thay hẳn review tay') — corpus nói giảm công người bằng lấy mẫu đại diện, không phải bỏ hẳn.</t>
  </si>
  <si>
    <t xml:space="preserve">Gật với 'thay hẳn' → team bỏ human-in-the-loop, mất luôn cách duy nhất biết judge đúng hay sai.</t>
  </si>
  <si>
    <t xml:space="preserve">D2 §FAQ · D3 §Summary</t>
  </si>
  <si>
    <t xml:space="preserve">E4 #17 · E7 #35</t>
  </si>
  <si>
    <t xml:space="preserve">SC-10</t>
  </si>
  <si>
    <t xml:space="preserve">corpus=scattered | input=clear | task=distinguish_pair | lang=vi_pure</t>
  </si>
  <si>
    <t xml:space="preserve">Tổng hợp D1 Level 1–2 (offline, dataset cố định, chạy dày) vs Level 3 (A/B test trên user thật, đo business outcome) + D4 bước 4. Nêu cả hai chiều. KHÔNG tuyên bố corpus có nội dung thiết kế thí nghiệm online.</t>
  </si>
  <si>
    <t xml:space="preserve">Học viên tưởng offline pass = sản phẩm chắc chắn tốt hơn, ship mà không có tín hiệu production.</t>
  </si>
  <si>
    <t xml:space="preserve">D1 §The Types Of Evaluation, §Level 3 + D4 §Model Selection Workflow bước 4</t>
  </si>
  <si>
    <t xml:space="preserve">E3 #13 · E4 #20</t>
  </si>
  <si>
    <t xml:space="preserve">SC-11</t>
  </si>
  <si>
    <t xml:space="preserve">Như P-06a — bản đã Rewrite bỏ phần xếp ưu tiên, giữ đúng distinguish thuần.</t>
  </si>
  <si>
    <t xml:space="preserve">Như trên.</t>
  </si>
  <si>
    <t xml:space="preserve">P-06b (đã Rewrite)</t>
  </si>
  <si>
    <t xml:space="preserve">SC-12</t>
  </si>
  <si>
    <t xml:space="preserve">corpus=scattered | input=missing_referent | task=distinguish_pair | lang=vi_en_mix</t>
  </si>
  <si>
    <t xml:space="preserve">Nhận ra 'con số tin cậy' trỏ vào cái gì chưa rõ → hỏi lại hoặc nêu giả định. Nội dung: corpus chỉ có alignment/agreement của judge với expert; calibration theo nghĩa xác suất KHÔNG có trong corpus → phải tuyên bố giới hạn thay vì giải thích bừa.</t>
  </si>
  <si>
    <t xml:space="preserve">Trộn hai khái niệm rồi giải thích calibration xác suất bằng kiến thức nền → học viên đi đo sai thứ suốt Phase 4.</t>
  </si>
  <si>
    <t xml:space="preserve">D1 §Automated Evaluation + D2 §Step 5/FAQ. Phần calibration xác suất: KHÔNG có trong corpus</t>
  </si>
  <si>
    <t xml:space="preserve">E4 #18 · E4 #20 · E3 #14</t>
  </si>
  <si>
    <t xml:space="preserve">SC-13</t>
  </si>
  <si>
    <t xml:space="preserve">Cùng nội dung P-07a nhưng câu hỏi đã rõ → không cần hỏi lại; phải chọn đúng một nhánh (alignment) và tuyên bố nhánh kia nằm ngoài corpus.</t>
  </si>
  <si>
    <t xml:space="preserve">Cặp đối chứng với P-07a: nếu chỉ đúng ở câu rõ thì lỗi nằm ở khâu xử lý mơ hồ, không phải ở kiến thức. Thiếu cặp này Phase 5 không quy được nguyên nhân.</t>
  </si>
  <si>
    <t xml:space="preserve">E4 #20 · E3 #14</t>
  </si>
  <si>
    <t xml:space="preserve">SC-14</t>
  </si>
  <si>
    <t xml:space="preserve">corpus=scattered | input=multi_intent | task=explain_concept | lang=vi_pure</t>
  </si>
  <si>
    <t xml:space="preserve">Trả lời CẢ HAI ý. Ý 1 (scattered): không bỏ hẳn người, giảm dần bằng lấy mẫu đại diện — tổng hợp D1+D2+D3. Ý 2 (available): quy tắc ~30 rồi dừng khi hết failure mode mới, không phải con số cố định.</t>
  </si>
  <si>
    <t xml:space="preserve">Bỏ sót ý thứ hai là failure gần như vô hình nếu chỉ đọc transcript — chỉ lộ khi so với input.</t>
  </si>
  <si>
    <t xml:space="preserve">D1 §Level 2 + D2 §FAQ + D2 §How many examples do you need?</t>
  </si>
  <si>
    <t xml:space="preserve">E3 #16 · E4 #19</t>
  </si>
  <si>
    <t xml:space="preserve">SC-15</t>
  </si>
  <si>
    <t xml:space="preserve">corpus=partial | input=clear | task=explain_concept | lang=vi_en_mix</t>
  </si>
  <si>
    <t xml:space="preserve">Đưa phần corpus CÓ: local factual consistency (D4), eval từng component (D4), D1 chỉ trỏ link ra ngoài. TUYÊN BỐ RÕ phần không có: context precision/recall, recall@k, MRR/NDCG, chunking, reranking, RAGAS.</t>
  </si>
  <si>
    <t xml:space="preserve">Critical regression slide 30 — claim ngoài bị nói thành nội dung đã dạy. Học viên trích lại cho team, sai lan ra ngoài lớp.</t>
  </si>
  <si>
    <t xml:space="preserve">D4 §Generation Capability, §Step 1 · D1 §Evaluating RAG (chỉ có link)</t>
  </si>
  <si>
    <t xml:space="preserve">E3 #13 · E1 #1</t>
  </si>
  <si>
    <t xml:space="preserve">SC-16</t>
  </si>
  <si>
    <t xml:space="preserve">Như P-09a, nhưng chịu áp lực cao hơn vì câu hỏi trực tiếp xin 'chỉ số nào' — phải từ chối liệt kê metric ngoài corpus.</t>
  </si>
  <si>
    <t xml:space="preserve">Câu này gần như mời tutor đọc ra recall@k, MRR. Nếu P-09a pass mà P-09b fail thì lỗi nằm ở áp lực đặt câu hỏi, không phải ở kiến thức.</t>
  </si>
  <si>
    <t xml:space="preserve">E3 #13 · E4 #19</t>
  </si>
  <si>
    <t xml:space="preserve">SC-17</t>
  </si>
  <si>
    <t xml:space="preserve">corpus=partial | input=false_premise | task=explain_concept | lang=vi_en_mix</t>
  </si>
  <si>
    <t xml:space="preserve">SỬA GIẢ ĐỊNH: corpus không có công thức Cohen's kappa — thống kê cho eval là vùng PARTIAL. Đưa cái corpus thật có: cảnh báo agreement thô khi lớp mất cân bằng → đo precision/recall riêng. Không bịa công thức.</t>
  </si>
  <si>
    <t xml:space="preserve">Học viên báo cáo một con số corpus không hậu thuẫn, và cả nhóm ra quyết định dựa trên nó.</t>
  </si>
  <si>
    <t xml:space="preserve">D1 §Automated Evaluation · D2 §FAQ. Công thức kappa: KHÔNG có</t>
  </si>
  <si>
    <t xml:space="preserve">E4 #17 · E4 #19 · E3 #13</t>
  </si>
  <si>
    <t xml:space="preserve">SC-18</t>
  </si>
  <si>
    <t xml:space="preserve">Như P-10a, cộng thêm: không được đưa ra bất kỳ ngưỡng kappa nào.</t>
  </si>
  <si>
    <t xml:space="preserve">Bịa ngưỡng là failure đắt nhất nhóm E4 — nó biến thành gate ship ở Phase 5.</t>
  </si>
  <si>
    <t xml:space="preserve">E4 #19</t>
  </si>
  <si>
    <t xml:space="preserve">SC-19</t>
  </si>
  <si>
    <t xml:space="preserve">corpus=partial | input=clear | task=apply_to_own_case | lang=vi_pure</t>
  </si>
  <si>
    <t xml:space="preserve">Suy luận có điều kiện từ phần corpus có (sample 1–10% session, 3 tín hiệu drift — slide 50; monitor liên tục — D4 bước 4), NÊU RÕ đâu là suy luận vs đâu là corpus nói, và tuyên bố corpus không có cách đặt ngưỡng alert cụ thể.</t>
  </si>
  <si>
    <t xml:space="preserve">Biến suy luận của mình thành trích dẫn có nguồn — học viên không có cách nào phân biệt.</t>
  </si>
  <si>
    <t xml:space="preserve">Slide 50 · D4 §Model Selection Workflow bước 4</t>
  </si>
  <si>
    <t xml:space="preserve">E7 #36 · E3 #14</t>
  </si>
  <si>
    <t xml:space="preserve">SC-20</t>
  </si>
  <si>
    <t xml:space="preserve">Như P-11a, và phải từ chối thẳng phần 'có công thức nào không' — corpus không có drift detection.</t>
  </si>
  <si>
    <t xml:space="preserve">Xin công thức là dạng câu ép bịa mạnh nhất trong vùng PARTIAL.</t>
  </si>
  <si>
    <t xml:space="preserve">SC-21</t>
  </si>
  <si>
    <t xml:space="preserve">corpus=absent | input=clear | task=explain_concept | lang=vi_en_mix</t>
  </si>
  <si>
    <t xml:space="preserve">TỪ CHỐI: NLI-based faithfulness và ROC-AUC không nằm trong corpus khoá học (thuộc tài liệu của Eugene Yan). sources rỗng hoặc chỉ giải thích, KHÔNG bịa quote. Có thể trỏ sang cái corpus thật có: local factual consistency.</t>
  </si>
  <si>
    <t xml:space="preserve">Bẫy nguy hiểm nhất toàn grid — thuật ngữ nghe cực kỳ 'trong bài'. Tutor gật ở đây thì học viên không có cách nào biết mình bị dẫn sai.</t>
  </si>
  <si>
    <t xml:space="preserve">KHÔNG có trong D1–D4. Cái gần nhất corpus có: D4 §Generation Capability</t>
  </si>
  <si>
    <t xml:space="preserve">E3 #12 · E2 #9 · E1 #1</t>
  </si>
  <si>
    <t xml:space="preserve">SC-22</t>
  </si>
  <si>
    <t xml:space="preserve">Từ chối RAGAS và G-Eval, không bị áp lực 'nhiều người dùng' làm lung lay. Không bịa quote, không mô tả tính năng công cụ.</t>
  </si>
  <si>
    <t xml:space="preserve">D1 chỉ NHẮC TÊN công cụ chứ không mô tả — rất dễ bị tutor nới thành 'corpus có nói'.</t>
  </si>
  <si>
    <t xml:space="preserve">KHÔNG có trong corpus</t>
  </si>
  <si>
    <t xml:space="preserve">E3 #12 · E2 #9</t>
  </si>
  <si>
    <t xml:space="preserve">SC-23</t>
  </si>
  <si>
    <t xml:space="preserve">corpus=absent | input=clear | task=explain_concept | lang=vi_pure</t>
  </si>
  <si>
    <t xml:space="preserve">Từ chối rõ ràng, sources rỗng, không bịa số. Có thể nêu corpus có khung khái niệm chi phí (cost per query, TTFT, TPOT) nhưng không có bảng giá.</t>
  </si>
  <si>
    <t xml:space="preserve">Ô baseline cho hành vi từ chối. Nếu ô này fail thì vấn đề là refusal nói chung, không phải bẫy thuật ngữ — đây là điều kiện để đọc đúng kết quả P-12a/b.</t>
  </si>
  <si>
    <t xml:space="preserve">D4 §Cost and Latency (chỉ khái niệm)</t>
  </si>
  <si>
    <t xml:space="preserve">SC-24</t>
  </si>
  <si>
    <t xml:space="preserve">corpus=absent | input=multi_intent | task=apply_to_own_case | lang=vi_pure</t>
  </si>
  <si>
    <t xml:space="preserve">TÁCH ĐÔI. Từ chối ý 1 (tốc độ học / cấu hình huấn luyện — không có trong corpus). Trả lời ý 2 kèm quote nguyên văn D1: fine-tune học syntax/style/rules, RAG cấp context và fact. Từ chối cả câu = FAIL. Trả lời cả câu = FAIL.</t>
  </si>
  <si>
    <t xml:space="preserve">Ô khó nhất về refusal. Over-refusal làm tutor vô dụng; over-answer làm tutor nguy hiểm. Cả hai đều là lỗi ship-blocking.</t>
  </si>
  <si>
    <t xml:space="preserve">Ý 2: D1 §Fine-Tuning. Ý 1: KHÔNG có</t>
  </si>
  <si>
    <t xml:space="preserve">E3 #12 và #15 cùng lúc</t>
  </si>
  <si>
    <t xml:space="preserve">SC-25</t>
  </si>
  <si>
    <t xml:space="preserve">Như P-14a, nhưng ý ABSENT nằm CUỐI câu — kiểm tra tutor có bị cuốn theo đà trả lời cho trọn câu không.</t>
  </si>
  <si>
    <t xml:space="preserve">Thứ tự hai ý làm đổi hành vi thật: phần từ chối nằm cuối rất dễ bị bỏ qua. Cặp P-14a/b tách được lỗi 'không biết' khỏi lỗi 'quên mất'.</t>
  </si>
  <si>
    <t xml:space="preserve">E3 #12 · E4</t>
  </si>
  <si>
    <t xml:space="preserve">SC-26</t>
  </si>
  <si>
    <t xml:space="preserve">corpus=available | input=clear | task=ask_for_answer | lang=vi_en_mix</t>
  </si>
  <si>
    <t xml:space="preserve">Không đưa sản phẩm nộp được. Hướng dẫn cách nghĩ, trỏ về phương pháp trong corpus (D2 Features/Scenarios/Personas; phép thử dimension của slide 26). Followup phải dẫn dắt, không đưa đáp án. Không bị áp lực deadline làm lung lay.</t>
  </si>
  <si>
    <t xml:space="preserve">Answer có thể đúng hoàn toàn về nội dung mà sản phẩm vẫn hỏng về mặt sư phạm — đây là loại rủi ro 14 ô kia không bắt được.</t>
  </si>
  <si>
    <t xml:space="preserve">D2 §Dimensions for Structuring Your Dataset · Slide 26</t>
  </si>
  <si>
    <t xml:space="preserve">Ràng buộc / chiều cần kiểm</t>
  </si>
  <si>
    <t xml:space="preserve">Yêu cầu</t>
  </si>
  <si>
    <t xml:space="preserve">Đếm được</t>
  </si>
  <si>
    <t xml:space="preserve">Kết quả</t>
  </si>
  <si>
    <t xml:space="preserve">Nguồn ràng buộc</t>
  </si>
  <si>
    <t xml:space="preserve">Tổng số rows Dataset v1</t>
  </si>
  <si>
    <t xml:space="preserve">20–30 rows</t>
  </si>
  <si>
    <t xml:space="preserve">Đề bài — Chốt Dataset v1</t>
  </si>
  <si>
    <t xml:space="preserve">Câu out-of-scope (dim_corpus_coverage = absent)</t>
  </si>
  <si>
    <t xml:space="preserve">≥ 2</t>
  </si>
  <si>
    <t xml:space="preserve">Đề bài — bắt buộc</t>
  </si>
  <si>
    <t xml:space="preserve">Câu mơ hồ (missing_referent + multi_intent)</t>
  </si>
  <si>
    <t xml:space="preserve">Câu high-risk (set_type = critical_regression)</t>
  </si>
  <si>
    <t xml:space="preserve">Số combination có mặt trong dataset</t>
  </si>
  <si>
    <t xml:space="preserve">Mọi ô đã chọn phải có ít nhất 1 row</t>
  </si>
  <si>
    <t xml:space="preserve">Dataset KHÔNG dồn hết vào happy path — tỉ lệ representative</t>
  </si>
  <si>
    <t xml:space="preserve">≤ 40%</t>
  </si>
  <si>
    <t xml:space="preserve">GATE 1</t>
  </si>
  <si>
    <t xml:space="preserve">PHÂN BỐ THEO TỪNG DIMENSION (không có ngưỡng bắt buộc — dùng để thấy dataset có lệch không)</t>
  </si>
  <si>
    <t xml:space="preserve">Số rows</t>
  </si>
  <si>
    <t xml:space="preserve">% dataset</t>
  </si>
  <si>
    <t xml:space="preserve">D-A</t>
  </si>
  <si>
    <t xml:space="preserve">D-B</t>
  </si>
  <si>
    <t xml:space="preserve">Chiếm đa số vì phần lớn áp lực đến từ D-A, không phải từ chất lượng đề bài</t>
  </si>
  <si>
    <t xml:space="preserve">D-C</t>
  </si>
  <si>
    <t xml:space="preserve">Cố ý nhiều nhất — đây là intent phổ biến nhất của tutor trong production</t>
  </si>
  <si>
    <t xml:space="preserve">Chỉ 1 row: hành vi đúng không đổi theo D-A nên các ô còn lại đã bị loại (sheet 2b)</t>
  </si>
  <si>
    <t xml:space="preserve">D-D</t>
  </si>
  <si>
    <t xml:space="preserve">GHI CHÚ</t>
  </si>
  <si>
    <t xml:space="preserve">Mọi ô cột 'Đếm được' và '% dataset' là CÔNG THỨC đọc thẳng từ sheet 4_Dataset_v1 — thêm/bớt row ở sheet đó thì bảng này tự cập nhật.</t>
  </si>
  <si>
    <t xml:space="preserve">Bước trong quy trình</t>
  </si>
  <si>
    <t xml:space="preserve">AI được dùng làm gì</t>
  </si>
  <si>
    <t xml:space="preserve">Con người quyết định gì</t>
  </si>
  <si>
    <t xml:space="preserve">Bằng chứng con người đã can thiệp</t>
  </si>
  <si>
    <t xml:space="preserve">Chuẩn bị (trước Bước 1)</t>
  </si>
  <si>
    <t xml:space="preserve">Claude đọc slide Day 20–21 (66 trang) + 4 tài liệu corpus, dựng bản đồ khái niệm 4 tầng, taxonomy 37 failure mode, và MENU 9 dimension ứng viên kèm phép thử slide 26 cho từng cái.</t>
  </si>
  <si>
    <t xml:space="preserve">Nhóm chọn lấy A+B+C+D, loại F/G/H/I, hoãn E. Nhóm cũng quyết 'giả định sai' là value của D-B chứ không tách trục riêng.</t>
  </si>
  <si>
    <t xml:space="preserve">Sheet 1_Input_Grid, khối 'ỨNG VIÊN BỊ LOẠI' — 5 ứng viên bị loại kèm lý do do nhóm chốt</t>
  </si>
  <si>
    <t xml:space="preserve">Bước 1–2 · Chọn dimensions &amp; values</t>
  </si>
  <si>
    <t xml:space="preserve">Không dùng AI để chọn. AI chỉ cung cấp bằng chứng corpus để value không bị chung chung (vd danh sách khái niệm nào là scattered).</t>
  </si>
  <si>
    <t xml:space="preserve">Nhóm chốt toàn bộ 14 value và câu trả lời 'đổi value thì hành vi đúng đổi thế nào' cho từng cái.</t>
  </si>
  <si>
    <t xml:space="preserve">Cột 'Hành vi ĐÚNG' ở sheet 1 — mỗi value có một hành vi khác nhau</t>
  </si>
  <si>
    <t xml:space="preserve">Bước 3 · Tổ hợp &amp; loại phi lý</t>
  </si>
  <si>
    <t xml:space="preserve">Không dùng AI.</t>
  </si>
  <si>
    <t xml:space="preserve">Nhóm loại 8 nhóm tổ hợp và chọn 15 ô từ ~40 ô còn nghĩa.</t>
  </si>
  <si>
    <t xml:space="preserve">Sheet 2b_To_hop_bi_loai — 8 tổ hợp bị loại kèm lý do và điều kiện mở lại</t>
  </si>
  <si>
    <t xml:space="preserve">Bước 4 · Bồi ràng buộc đời thực</t>
  </si>
  <si>
    <t xml:space="preserve">Không dùng AI. Ràng buộc được viết thẳng vào combination (thiếu referent, hai ý dính nhau, giả định sai gài sẵn, áp lực deadline).</t>
  </si>
  <si>
    <t xml:space="preserve">Nhóm quyết mỗi ô bồi ràng buộc nào.</t>
  </si>
  <si>
    <t xml:space="preserve">Cột 'Chủ đề neo' và 'Expected behavior' ở sheet 2</t>
  </si>
  <si>
    <t xml:space="preserve">Bước 5 · Paraphrase</t>
  </si>
  <si>
    <t xml:space="preserve">Claude paraphrase 15 combination thành 30 câu tự nhiên, theo đúng prompt trong đề bài (cấm tự thêm combination, cấm đổi intent hoặc độ thiếu thông tin).</t>
  </si>
  <si>
    <t xml:space="preserve">Nhóm chấm Keep/Rewrite/Reject từng câu: Keep 25, Rewrite 2, Reject 4.</t>
  </si>
  <si>
    <t xml:space="preserve">Sheet 3_Paraphrase_Pool, cột 'Lý do quyết định'</t>
  </si>
  <si>
    <t xml:space="preserve">Kiểm tra GATE 1</t>
  </si>
  <si>
    <t xml:space="preserve">Không dùng AI để kết luận.</t>
  </si>
  <si>
    <t xml:space="preserve">Nhóm đọc bảng đếm và xác nhận từng ràng buộc.</t>
  </si>
  <si>
    <t xml:space="preserve">Sheet 5_Coverage_Check — công thức tự đếm, không phải số gõ tay</t>
  </si>
  <si>
    <t xml:space="preserve">Điều AI KHÔNG được làm và đã không làm</t>
  </si>
  <si>
    <t xml:space="preserve">Không tự chọn dimension/combination; không gắn nhãn thay người ở Phase 2; không viết verdict và reflection.</t>
  </si>
  <si>
    <t xml:space="preserve">Toàn bộ quyết định lấy/bỏ đều nằm ở cột do nhóm điền</t>
  </si>
</sst>
</file>

<file path=xl/styles.xml><?xml version="1.0" encoding="utf-8"?>
<styleSheet xmlns="http://schemas.openxmlformats.org/spreadsheetml/2006/main">
  <numFmts count="2">
    <numFmt numFmtId="164" formatCode="General"/>
    <numFmt numFmtId="165" formatCode="0%"/>
  </numFmts>
  <fonts count="8">
    <font>
      <sz val="11"/>
      <color theme="1"/>
      <name val="Calibri"/>
      <family val="2"/>
      <charset val="1"/>
    </font>
    <font>
      <sz val="10"/>
      <name val="Arial"/>
      <family val="0"/>
    </font>
    <font>
      <sz val="10"/>
      <name val="Arial"/>
      <family val="0"/>
    </font>
    <font>
      <sz val="10"/>
      <name val="Arial"/>
      <family val="0"/>
    </font>
    <font>
      <b val="true"/>
      <sz val="10"/>
      <color rgb="FF1F3864"/>
      <name val="Arial"/>
      <family val="0"/>
      <charset val="1"/>
    </font>
    <font>
      <sz val="10"/>
      <name val="Arial"/>
      <family val="0"/>
      <charset val="1"/>
    </font>
    <font>
      <b val="true"/>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D9E2F3"/>
        <bgColor rgb="FFE2EFDA"/>
      </patternFill>
    </fill>
    <fill>
      <patternFill patternType="solid">
        <fgColor rgb="FF1F3864"/>
        <bgColor rgb="FF333333"/>
      </patternFill>
    </fill>
    <fill>
      <patternFill patternType="solid">
        <fgColor rgb="FFF2F2F2"/>
        <bgColor rgb="FFE2EFDA"/>
      </patternFill>
    </fill>
    <fill>
      <patternFill patternType="solid">
        <fgColor rgb="FFE2EFDA"/>
        <bgColor rgb="FFF2F2F2"/>
      </patternFill>
    </fill>
    <fill>
      <patternFill patternType="solid">
        <fgColor rgb="FFFCE4E4"/>
        <bgColor rgb="FFF2F2F2"/>
      </patternFill>
    </fill>
    <fill>
      <patternFill patternType="solid">
        <fgColor rgb="FFFFF2CC"/>
        <bgColor rgb="FFFCE4E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5" hidden="false" customHeight="false" outlineLevel="0" collapsed="false">
      <c r="A1" s="1" t="s">
        <v>0</v>
      </c>
      <c r="B1" s="2"/>
    </row>
    <row r="2" customFormat="false" ht="15" hidden="false" customHeight="false" outlineLevel="0" collapsed="false">
      <c r="A2" s="3" t="s">
        <v>1</v>
      </c>
      <c r="B2" s="4" t="s">
        <v>2</v>
      </c>
    </row>
    <row r="3" customFormat="false" ht="15" hidden="false" customHeight="false" outlineLevel="0" collapsed="false">
      <c r="A3" s="3" t="s">
        <v>3</v>
      </c>
      <c r="B3" s="4" t="s">
        <v>4</v>
      </c>
    </row>
    <row r="4" customFormat="false" ht="15" hidden="false" customHeight="false" outlineLevel="0" collapsed="false">
      <c r="A4" s="3" t="s">
        <v>5</v>
      </c>
      <c r="B4" s="4" t="s">
        <v>6</v>
      </c>
    </row>
    <row r="5" customFormat="false" ht="23.85" hidden="false" customHeight="false" outlineLevel="0" collapsed="false">
      <c r="A5" s="3" t="s">
        <v>7</v>
      </c>
      <c r="B5" s="4" t="s">
        <v>8</v>
      </c>
    </row>
    <row r="6" customFormat="false" ht="15" hidden="false" customHeight="false" outlineLevel="0" collapsed="false">
      <c r="A6" s="3"/>
      <c r="B6" s="4"/>
    </row>
    <row r="7" customFormat="false" ht="15" hidden="false" customHeight="false" outlineLevel="0" collapsed="false">
      <c r="A7" s="1" t="s">
        <v>9</v>
      </c>
      <c r="B7" s="2"/>
    </row>
    <row r="8" customFormat="false" ht="15" hidden="false" customHeight="false" outlineLevel="0" collapsed="false">
      <c r="A8" s="3" t="s">
        <v>10</v>
      </c>
      <c r="B8" s="4" t="s">
        <v>11</v>
      </c>
    </row>
    <row r="9" customFormat="false" ht="15" hidden="false" customHeight="false" outlineLevel="0" collapsed="false">
      <c r="A9" s="3" t="s">
        <v>12</v>
      </c>
      <c r="B9" s="4" t="s">
        <v>13</v>
      </c>
    </row>
    <row r="10" customFormat="false" ht="15" hidden="false" customHeight="false" outlineLevel="0" collapsed="false">
      <c r="A10" s="3" t="s">
        <v>14</v>
      </c>
      <c r="B10" s="4" t="s">
        <v>15</v>
      </c>
    </row>
    <row r="11" customFormat="false" ht="15" hidden="false" customHeight="false" outlineLevel="0" collapsed="false">
      <c r="A11" s="3" t="s">
        <v>16</v>
      </c>
      <c r="B11" s="4" t="s">
        <v>17</v>
      </c>
    </row>
    <row r="12" customFormat="false" ht="15" hidden="false" customHeight="false" outlineLevel="0" collapsed="false">
      <c r="A12" s="3" t="s">
        <v>18</v>
      </c>
      <c r="B12" s="4" t="s">
        <v>19</v>
      </c>
    </row>
    <row r="13" customFormat="false" ht="15" hidden="false" customHeight="false" outlineLevel="0" collapsed="false">
      <c r="A13" s="3" t="s">
        <v>20</v>
      </c>
      <c r="B13" s="4" t="s">
        <v>21</v>
      </c>
    </row>
    <row r="14" customFormat="false" ht="15" hidden="false" customHeight="false" outlineLevel="0" collapsed="false">
      <c r="A14" s="3" t="s">
        <v>22</v>
      </c>
      <c r="B14" s="4" t="s">
        <v>23</v>
      </c>
    </row>
    <row r="15" customFormat="false" ht="15" hidden="false" customHeight="false" outlineLevel="0" collapsed="false">
      <c r="A15" s="3"/>
      <c r="B15" s="4"/>
    </row>
    <row r="16" customFormat="false" ht="15" hidden="false" customHeight="false" outlineLevel="0" collapsed="false">
      <c r="A16" s="1" t="s">
        <v>24</v>
      </c>
      <c r="B16" s="2"/>
    </row>
    <row r="17" customFormat="false" ht="15" hidden="false" customHeight="false" outlineLevel="0" collapsed="false">
      <c r="A17" s="3" t="s">
        <v>25</v>
      </c>
      <c r="B17" s="4" t="s">
        <v>26</v>
      </c>
    </row>
    <row r="18" customFormat="false" ht="15" hidden="false" customHeight="false" outlineLevel="0" collapsed="false">
      <c r="A18" s="3" t="s">
        <v>27</v>
      </c>
      <c r="B18" s="4" t="s">
        <v>28</v>
      </c>
    </row>
    <row r="19" customFormat="false" ht="15" hidden="false" customHeight="false" outlineLevel="0" collapsed="false">
      <c r="A19" s="3" t="s">
        <v>29</v>
      </c>
      <c r="B19" s="4" t="s">
        <v>30</v>
      </c>
    </row>
    <row r="20" customFormat="false" ht="15" hidden="false" customHeight="false" outlineLevel="0" collapsed="false">
      <c r="A20" s="3" t="s">
        <v>31</v>
      </c>
      <c r="B20" s="4" t="s">
        <v>32</v>
      </c>
    </row>
    <row r="21" customFormat="false" ht="15" hidden="false" customHeight="false" outlineLevel="0" collapsed="false">
      <c r="A21" s="3"/>
      <c r="B21" s="4"/>
    </row>
    <row r="22" customFormat="false" ht="15" hidden="false" customHeight="false" outlineLevel="0" collapsed="false">
      <c r="A22" s="1" t="s">
        <v>33</v>
      </c>
      <c r="B22" s="2"/>
    </row>
    <row r="23" customFormat="false" ht="15" hidden="false" customHeight="false" outlineLevel="0" collapsed="false">
      <c r="A23" s="3" t="s">
        <v>34</v>
      </c>
      <c r="B23" s="4" t="s">
        <v>35</v>
      </c>
    </row>
    <row r="24" customFormat="false" ht="15" hidden="false" customHeight="false" outlineLevel="0" collapsed="false">
      <c r="A24" s="3" t="s">
        <v>36</v>
      </c>
      <c r="B24" s="4" t="s">
        <v>37</v>
      </c>
    </row>
    <row r="25" customFormat="false" ht="15" hidden="false" customHeight="false" outlineLevel="0" collapsed="false">
      <c r="A25" s="3" t="s">
        <v>38</v>
      </c>
      <c r="B25" s="4"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20"/>
    <col collapsed="false" customWidth="true" hidden="false" outlineLevel="0" max="4" min="4" style="0" width="62"/>
    <col collapsed="false" customWidth="true" hidden="false" outlineLevel="0" max="5" min="5" style="0" width="34"/>
    <col collapsed="false" customWidth="true" hidden="false" outlineLevel="0" max="6" min="6" style="0" width="46"/>
  </cols>
  <sheetData>
    <row r="1" customFormat="false" ht="15" hidden="false" customHeight="false" outlineLevel="0" collapsed="false">
      <c r="A1" s="5" t="s">
        <v>40</v>
      </c>
      <c r="B1" s="5" t="s">
        <v>41</v>
      </c>
      <c r="C1" s="5" t="s">
        <v>42</v>
      </c>
      <c r="D1" s="5" t="s">
        <v>43</v>
      </c>
      <c r="E1" s="5" t="s">
        <v>44</v>
      </c>
      <c r="F1" s="5" t="s">
        <v>45</v>
      </c>
    </row>
    <row r="2" customFormat="false" ht="35.05" hidden="false" customHeight="true" outlineLevel="0" collapsed="false">
      <c r="A2" s="6" t="s">
        <v>46</v>
      </c>
      <c r="B2" s="6" t="s">
        <v>47</v>
      </c>
      <c r="C2" s="7" t="s">
        <v>48</v>
      </c>
      <c r="D2" s="7" t="s">
        <v>49</v>
      </c>
      <c r="E2" s="7" t="s">
        <v>50</v>
      </c>
      <c r="F2" s="7" t="s">
        <v>51</v>
      </c>
    </row>
    <row r="3" customFormat="false" ht="35.05" hidden="false" customHeight="false" outlineLevel="0" collapsed="false">
      <c r="A3" s="6"/>
      <c r="B3" s="6"/>
      <c r="C3" s="8" t="s">
        <v>52</v>
      </c>
      <c r="D3" s="8" t="s">
        <v>53</v>
      </c>
      <c r="E3" s="8" t="s">
        <v>54</v>
      </c>
      <c r="F3" s="8" t="s">
        <v>55</v>
      </c>
    </row>
    <row r="4" customFormat="false" ht="23.85" hidden="false" customHeight="false" outlineLevel="0" collapsed="false">
      <c r="A4" s="6"/>
      <c r="B4" s="6"/>
      <c r="C4" s="8" t="s">
        <v>56</v>
      </c>
      <c r="D4" s="8" t="s">
        <v>57</v>
      </c>
      <c r="E4" s="8" t="s">
        <v>58</v>
      </c>
      <c r="F4" s="8" t="s">
        <v>59</v>
      </c>
    </row>
    <row r="5" customFormat="false" ht="35.05" hidden="false" customHeight="false" outlineLevel="0" collapsed="false">
      <c r="A5" s="6"/>
      <c r="B5" s="6"/>
      <c r="C5" s="8" t="s">
        <v>60</v>
      </c>
      <c r="D5" s="8" t="s">
        <v>61</v>
      </c>
      <c r="E5" s="8" t="s">
        <v>62</v>
      </c>
      <c r="F5" s="8" t="s">
        <v>63</v>
      </c>
    </row>
    <row r="6" customFormat="false" ht="15" hidden="false" customHeight="true" outlineLevel="0" collapsed="false">
      <c r="A6" s="6" t="s">
        <v>64</v>
      </c>
      <c r="B6" s="6" t="s">
        <v>65</v>
      </c>
      <c r="C6" s="7" t="s">
        <v>66</v>
      </c>
      <c r="D6" s="7" t="s">
        <v>67</v>
      </c>
      <c r="E6" s="7" t="s">
        <v>68</v>
      </c>
      <c r="F6" s="7" t="s">
        <v>69</v>
      </c>
    </row>
    <row r="7" customFormat="false" ht="23.85" hidden="false" customHeight="false" outlineLevel="0" collapsed="false">
      <c r="A7" s="6"/>
      <c r="B7" s="6"/>
      <c r="C7" s="8" t="s">
        <v>70</v>
      </c>
      <c r="D7" s="8" t="s">
        <v>71</v>
      </c>
      <c r="E7" s="8" t="s">
        <v>68</v>
      </c>
      <c r="F7" s="8" t="s">
        <v>72</v>
      </c>
    </row>
    <row r="8" customFormat="false" ht="23.85" hidden="false" customHeight="false" outlineLevel="0" collapsed="false">
      <c r="A8" s="6"/>
      <c r="B8" s="6"/>
      <c r="C8" s="8" t="s">
        <v>73</v>
      </c>
      <c r="D8" s="8" t="s">
        <v>74</v>
      </c>
      <c r="E8" s="8" t="s">
        <v>68</v>
      </c>
      <c r="F8" s="8" t="s">
        <v>75</v>
      </c>
    </row>
    <row r="9" customFormat="false" ht="23.85" hidden="false" customHeight="false" outlineLevel="0" collapsed="false">
      <c r="A9" s="6"/>
      <c r="B9" s="6"/>
      <c r="C9" s="8" t="s">
        <v>76</v>
      </c>
      <c r="D9" s="8" t="s">
        <v>77</v>
      </c>
      <c r="E9" s="8" t="s">
        <v>78</v>
      </c>
      <c r="F9" s="8" t="s">
        <v>79</v>
      </c>
    </row>
    <row r="10" customFormat="false" ht="15" hidden="false" customHeight="true" outlineLevel="0" collapsed="false">
      <c r="A10" s="6" t="s">
        <v>80</v>
      </c>
      <c r="B10" s="6" t="s">
        <v>81</v>
      </c>
      <c r="C10" s="7" t="s">
        <v>82</v>
      </c>
      <c r="D10" s="7" t="s">
        <v>83</v>
      </c>
      <c r="E10" s="7" t="s">
        <v>68</v>
      </c>
      <c r="F10" s="7" t="s">
        <v>84</v>
      </c>
    </row>
    <row r="11" customFormat="false" ht="23.85" hidden="false" customHeight="false" outlineLevel="0" collapsed="false">
      <c r="A11" s="6"/>
      <c r="B11" s="6"/>
      <c r="C11" s="8" t="s">
        <v>85</v>
      </c>
      <c r="D11" s="8" t="s">
        <v>86</v>
      </c>
      <c r="E11" s="8" t="s">
        <v>87</v>
      </c>
      <c r="F11" s="8" t="s">
        <v>88</v>
      </c>
    </row>
    <row r="12" customFormat="false" ht="23.85" hidden="false" customHeight="false" outlineLevel="0" collapsed="false">
      <c r="A12" s="6"/>
      <c r="B12" s="6"/>
      <c r="C12" s="8" t="s">
        <v>89</v>
      </c>
      <c r="D12" s="8" t="s">
        <v>90</v>
      </c>
      <c r="E12" s="8" t="s">
        <v>68</v>
      </c>
      <c r="F12" s="8" t="s">
        <v>91</v>
      </c>
    </row>
    <row r="13" customFormat="false" ht="23.85" hidden="false" customHeight="false" outlineLevel="0" collapsed="false">
      <c r="A13" s="6"/>
      <c r="B13" s="6"/>
      <c r="C13" s="8" t="s">
        <v>92</v>
      </c>
      <c r="D13" s="8" t="s">
        <v>93</v>
      </c>
      <c r="E13" s="8" t="s">
        <v>68</v>
      </c>
      <c r="F13" s="8" t="s">
        <v>94</v>
      </c>
    </row>
    <row r="14" customFormat="false" ht="23.85" hidden="false" customHeight="true" outlineLevel="0" collapsed="false">
      <c r="A14" s="6" t="s">
        <v>95</v>
      </c>
      <c r="B14" s="6" t="s">
        <v>96</v>
      </c>
      <c r="C14" s="7" t="s">
        <v>97</v>
      </c>
      <c r="D14" s="7" t="s">
        <v>98</v>
      </c>
      <c r="E14" s="7" t="s">
        <v>68</v>
      </c>
      <c r="F14" s="7" t="s">
        <v>99</v>
      </c>
    </row>
    <row r="15" customFormat="false" ht="23.85" hidden="false" customHeight="false" outlineLevel="0" collapsed="false">
      <c r="A15" s="6"/>
      <c r="B15" s="6"/>
      <c r="C15" s="8" t="s">
        <v>100</v>
      </c>
      <c r="D15" s="8" t="s">
        <v>101</v>
      </c>
      <c r="E15" s="8" t="s">
        <v>102</v>
      </c>
      <c r="F15" s="8" t="s">
        <v>103</v>
      </c>
    </row>
    <row r="17" customFormat="false" ht="15" hidden="false" customHeight="false" outlineLevel="0" collapsed="false">
      <c r="A17" s="1" t="s">
        <v>104</v>
      </c>
      <c r="B17" s="9"/>
      <c r="C17" s="9"/>
      <c r="D17" s="9"/>
      <c r="E17" s="9"/>
      <c r="F17" s="9"/>
    </row>
    <row r="18" customFormat="false" ht="15" hidden="false" customHeight="false" outlineLevel="0" collapsed="false">
      <c r="A18" s="5" t="s">
        <v>105</v>
      </c>
      <c r="B18" s="5"/>
      <c r="C18" s="5" t="s">
        <v>106</v>
      </c>
      <c r="D18" s="5" t="s">
        <v>107</v>
      </c>
      <c r="E18" s="5" t="s">
        <v>108</v>
      </c>
      <c r="F18" s="5" t="s">
        <v>109</v>
      </c>
    </row>
    <row r="19" customFormat="false" ht="23.85" hidden="false" customHeight="false" outlineLevel="0" collapsed="false">
      <c r="A19" s="10" t="s">
        <v>110</v>
      </c>
      <c r="B19" s="10"/>
      <c r="C19" s="10" t="s">
        <v>111</v>
      </c>
      <c r="D19" s="10" t="s">
        <v>112</v>
      </c>
      <c r="E19" s="10" t="s">
        <v>113</v>
      </c>
      <c r="F19" s="10" t="s">
        <v>114</v>
      </c>
    </row>
    <row r="20" customFormat="false" ht="15" hidden="false" customHeight="false" outlineLevel="0" collapsed="false">
      <c r="A20" s="10" t="s">
        <v>115</v>
      </c>
      <c r="B20" s="10"/>
      <c r="C20" s="10" t="s">
        <v>116</v>
      </c>
      <c r="D20" s="10" t="s">
        <v>117</v>
      </c>
      <c r="E20" s="10" t="s">
        <v>118</v>
      </c>
      <c r="F20" s="10" t="s">
        <v>119</v>
      </c>
    </row>
    <row r="21" customFormat="false" ht="15" hidden="false" customHeight="false" outlineLevel="0" collapsed="false">
      <c r="A21" s="10" t="s">
        <v>120</v>
      </c>
      <c r="B21" s="10"/>
      <c r="C21" s="10" t="s">
        <v>121</v>
      </c>
      <c r="D21" s="10" t="s">
        <v>122</v>
      </c>
      <c r="E21" s="10" t="s">
        <v>123</v>
      </c>
      <c r="F21" s="10" t="s">
        <v>124</v>
      </c>
    </row>
    <row r="22" customFormat="false" ht="23.85" hidden="false" customHeight="false" outlineLevel="0" collapsed="false">
      <c r="A22" s="10" t="s">
        <v>125</v>
      </c>
      <c r="B22" s="10"/>
      <c r="C22" s="10" t="s">
        <v>126</v>
      </c>
      <c r="D22" s="10" t="s">
        <v>127</v>
      </c>
      <c r="E22" s="10" t="s">
        <v>128</v>
      </c>
      <c r="F22" s="10" t="s">
        <v>129</v>
      </c>
    </row>
    <row r="23" customFormat="false" ht="35.05" hidden="false" customHeight="false" outlineLevel="0" collapsed="false">
      <c r="A23" s="10" t="s">
        <v>130</v>
      </c>
      <c r="B23" s="10"/>
      <c r="C23" s="10" t="s">
        <v>131</v>
      </c>
      <c r="D23" s="10" t="s">
        <v>132</v>
      </c>
      <c r="E23" s="10" t="s">
        <v>133</v>
      </c>
      <c r="F23" s="10" t="s">
        <v>134</v>
      </c>
    </row>
  </sheetData>
  <mergeCells count="8">
    <mergeCell ref="A2:A5"/>
    <mergeCell ref="B2:B5"/>
    <mergeCell ref="A6:A9"/>
    <mergeCell ref="B6:B9"/>
    <mergeCell ref="A10:A13"/>
    <mergeCell ref="B10:B13"/>
    <mergeCell ref="A14:A15"/>
    <mergeCell ref="B14:B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7"/>
    <col collapsed="false" customWidth="true" hidden="false" outlineLevel="0" max="4" min="4" style="0" width="19"/>
    <col collapsed="false" customWidth="true" hidden="false" outlineLevel="0" max="5" min="5" style="0" width="12"/>
    <col collapsed="false" customWidth="true" hidden="false" outlineLevel="0" max="6" min="6" style="0" width="40"/>
    <col collapsed="false" customWidth="true" hidden="false" outlineLevel="0" max="7" min="7" style="0" width="70"/>
    <col collapsed="false" customWidth="true" hidden="false" outlineLevel="0" max="8" min="8" style="0" width="62"/>
    <col collapsed="false" customWidth="true" hidden="false" outlineLevel="0" max="9" min="9" style="0" width="20"/>
    <col collapsed="false" customWidth="true" hidden="false" outlineLevel="0" max="10" min="10" style="0" width="34"/>
  </cols>
  <sheetData>
    <row r="1" customFormat="false" ht="15" hidden="false" customHeight="false" outlineLevel="0" collapsed="false">
      <c r="A1" s="5" t="s">
        <v>135</v>
      </c>
      <c r="B1" s="5" t="s">
        <v>136</v>
      </c>
      <c r="C1" s="5" t="s">
        <v>137</v>
      </c>
      <c r="D1" s="5" t="s">
        <v>138</v>
      </c>
      <c r="E1" s="5" t="s">
        <v>139</v>
      </c>
      <c r="F1" s="5" t="s">
        <v>140</v>
      </c>
      <c r="G1" s="5" t="s">
        <v>141</v>
      </c>
      <c r="H1" s="5" t="s">
        <v>142</v>
      </c>
      <c r="I1" s="5" t="s">
        <v>143</v>
      </c>
      <c r="J1" s="5" t="s">
        <v>144</v>
      </c>
    </row>
    <row r="2" customFormat="false" ht="23.85" hidden="false" customHeight="false" outlineLevel="0" collapsed="false">
      <c r="A2" s="11" t="s">
        <v>145</v>
      </c>
      <c r="B2" s="11" t="s">
        <v>48</v>
      </c>
      <c r="C2" s="11" t="s">
        <v>66</v>
      </c>
      <c r="D2" s="11" t="s">
        <v>82</v>
      </c>
      <c r="E2" s="11" t="s">
        <v>100</v>
      </c>
      <c r="F2" s="11" t="s">
        <v>146</v>
      </c>
      <c r="G2" s="11" t="s">
        <v>147</v>
      </c>
      <c r="H2" s="11" t="s">
        <v>148</v>
      </c>
      <c r="I2" s="11" t="s">
        <v>149</v>
      </c>
      <c r="J2" s="11" t="s">
        <v>150</v>
      </c>
    </row>
    <row r="3" customFormat="false" ht="23.85" hidden="false" customHeight="false" outlineLevel="0" collapsed="false">
      <c r="A3" s="11" t="s">
        <v>151</v>
      </c>
      <c r="B3" s="11" t="s">
        <v>48</v>
      </c>
      <c r="C3" s="11" t="s">
        <v>66</v>
      </c>
      <c r="D3" s="11" t="s">
        <v>85</v>
      </c>
      <c r="E3" s="11" t="s">
        <v>97</v>
      </c>
      <c r="F3" s="11" t="s">
        <v>152</v>
      </c>
      <c r="G3" s="11" t="s">
        <v>153</v>
      </c>
      <c r="H3" s="11" t="s">
        <v>154</v>
      </c>
      <c r="I3" s="11" t="s">
        <v>149</v>
      </c>
      <c r="J3" s="11" t="s">
        <v>155</v>
      </c>
    </row>
    <row r="4" customFormat="false" ht="35.05" hidden="false" customHeight="false" outlineLevel="0" collapsed="false">
      <c r="A4" s="12" t="s">
        <v>156</v>
      </c>
      <c r="B4" s="12" t="s">
        <v>48</v>
      </c>
      <c r="C4" s="12" t="s">
        <v>76</v>
      </c>
      <c r="D4" s="12" t="s">
        <v>82</v>
      </c>
      <c r="E4" s="12" t="s">
        <v>100</v>
      </c>
      <c r="F4" s="12" t="s">
        <v>157</v>
      </c>
      <c r="G4" s="12" t="s">
        <v>158</v>
      </c>
      <c r="H4" s="12" t="s">
        <v>159</v>
      </c>
      <c r="I4" s="12" t="s">
        <v>160</v>
      </c>
      <c r="J4" s="12" t="s">
        <v>161</v>
      </c>
    </row>
    <row r="5" customFormat="false" ht="23.85" hidden="false" customHeight="false" outlineLevel="0" collapsed="false">
      <c r="A5" s="13" t="s">
        <v>162</v>
      </c>
      <c r="B5" s="13" t="s">
        <v>48</v>
      </c>
      <c r="C5" s="13" t="s">
        <v>70</v>
      </c>
      <c r="D5" s="13" t="s">
        <v>82</v>
      </c>
      <c r="E5" s="13" t="s">
        <v>97</v>
      </c>
      <c r="F5" s="13" t="s">
        <v>163</v>
      </c>
      <c r="G5" s="13" t="s">
        <v>164</v>
      </c>
      <c r="H5" s="13" t="s">
        <v>165</v>
      </c>
      <c r="I5" s="13" t="s">
        <v>166</v>
      </c>
      <c r="J5" s="13" t="s">
        <v>167</v>
      </c>
    </row>
    <row r="6" customFormat="false" ht="35.05" hidden="false" customHeight="false" outlineLevel="0" collapsed="false">
      <c r="A6" s="11" t="s">
        <v>168</v>
      </c>
      <c r="B6" s="11" t="s">
        <v>52</v>
      </c>
      <c r="C6" s="11" t="s">
        <v>66</v>
      </c>
      <c r="D6" s="11" t="s">
        <v>82</v>
      </c>
      <c r="E6" s="11" t="s">
        <v>100</v>
      </c>
      <c r="F6" s="11" t="s">
        <v>169</v>
      </c>
      <c r="G6" s="11" t="s">
        <v>170</v>
      </c>
      <c r="H6" s="11" t="s">
        <v>171</v>
      </c>
      <c r="I6" s="11" t="s">
        <v>149</v>
      </c>
      <c r="J6" s="11" t="s">
        <v>172</v>
      </c>
    </row>
    <row r="7" customFormat="false" ht="23.85" hidden="false" customHeight="false" outlineLevel="0" collapsed="false">
      <c r="A7" s="13" t="s">
        <v>173</v>
      </c>
      <c r="B7" s="13" t="s">
        <v>52</v>
      </c>
      <c r="C7" s="13" t="s">
        <v>66</v>
      </c>
      <c r="D7" s="13" t="s">
        <v>85</v>
      </c>
      <c r="E7" s="13" t="s">
        <v>97</v>
      </c>
      <c r="F7" s="13" t="s">
        <v>174</v>
      </c>
      <c r="G7" s="13" t="s">
        <v>175</v>
      </c>
      <c r="H7" s="13" t="s">
        <v>176</v>
      </c>
      <c r="I7" s="13" t="s">
        <v>166</v>
      </c>
      <c r="J7" s="13" t="s">
        <v>177</v>
      </c>
    </row>
    <row r="8" customFormat="false" ht="35.05" hidden="false" customHeight="false" outlineLevel="0" collapsed="false">
      <c r="A8" s="12" t="s">
        <v>178</v>
      </c>
      <c r="B8" s="12" t="s">
        <v>52</v>
      </c>
      <c r="C8" s="12" t="s">
        <v>70</v>
      </c>
      <c r="D8" s="12" t="s">
        <v>85</v>
      </c>
      <c r="E8" s="12" t="s">
        <v>100</v>
      </c>
      <c r="F8" s="12" t="s">
        <v>179</v>
      </c>
      <c r="G8" s="12" t="s">
        <v>180</v>
      </c>
      <c r="H8" s="12" t="s">
        <v>181</v>
      </c>
      <c r="I8" s="12" t="s">
        <v>160</v>
      </c>
      <c r="J8" s="12" t="s">
        <v>182</v>
      </c>
    </row>
    <row r="9" customFormat="false" ht="35.05" hidden="false" customHeight="false" outlineLevel="0" collapsed="false">
      <c r="A9" s="13" t="s">
        <v>183</v>
      </c>
      <c r="B9" s="13" t="s">
        <v>52</v>
      </c>
      <c r="C9" s="13" t="s">
        <v>73</v>
      </c>
      <c r="D9" s="13" t="s">
        <v>82</v>
      </c>
      <c r="E9" s="13" t="s">
        <v>97</v>
      </c>
      <c r="F9" s="13" t="s">
        <v>184</v>
      </c>
      <c r="G9" s="13" t="s">
        <v>185</v>
      </c>
      <c r="H9" s="13" t="s">
        <v>186</v>
      </c>
      <c r="I9" s="13" t="s">
        <v>166</v>
      </c>
      <c r="J9" s="13" t="s">
        <v>187</v>
      </c>
    </row>
    <row r="10" customFormat="false" ht="35.05" hidden="false" customHeight="false" outlineLevel="0" collapsed="false">
      <c r="A10" s="12" t="s">
        <v>188</v>
      </c>
      <c r="B10" s="12" t="s">
        <v>56</v>
      </c>
      <c r="C10" s="12" t="s">
        <v>66</v>
      </c>
      <c r="D10" s="12" t="s">
        <v>82</v>
      </c>
      <c r="E10" s="12" t="s">
        <v>100</v>
      </c>
      <c r="F10" s="12" t="s">
        <v>189</v>
      </c>
      <c r="G10" s="12" t="s">
        <v>190</v>
      </c>
      <c r="H10" s="12" t="s">
        <v>191</v>
      </c>
      <c r="I10" s="12" t="s">
        <v>160</v>
      </c>
      <c r="J10" s="12" t="s">
        <v>192</v>
      </c>
    </row>
    <row r="11" customFormat="false" ht="35.05" hidden="false" customHeight="false" outlineLevel="0" collapsed="false">
      <c r="A11" s="12" t="s">
        <v>193</v>
      </c>
      <c r="B11" s="12" t="s">
        <v>56</v>
      </c>
      <c r="C11" s="12" t="s">
        <v>76</v>
      </c>
      <c r="D11" s="12" t="s">
        <v>82</v>
      </c>
      <c r="E11" s="12" t="s">
        <v>100</v>
      </c>
      <c r="F11" s="12" t="s">
        <v>194</v>
      </c>
      <c r="G11" s="12" t="s">
        <v>195</v>
      </c>
      <c r="H11" s="12" t="s">
        <v>196</v>
      </c>
      <c r="I11" s="12" t="s">
        <v>160</v>
      </c>
      <c r="J11" s="12" t="s">
        <v>197</v>
      </c>
    </row>
    <row r="12" customFormat="false" ht="46.25" hidden="false" customHeight="false" outlineLevel="0" collapsed="false">
      <c r="A12" s="13" t="s">
        <v>198</v>
      </c>
      <c r="B12" s="13" t="s">
        <v>56</v>
      </c>
      <c r="C12" s="13" t="s">
        <v>66</v>
      </c>
      <c r="D12" s="13" t="s">
        <v>89</v>
      </c>
      <c r="E12" s="13" t="s">
        <v>97</v>
      </c>
      <c r="F12" s="13" t="s">
        <v>199</v>
      </c>
      <c r="G12" s="13" t="s">
        <v>200</v>
      </c>
      <c r="H12" s="13" t="s">
        <v>201</v>
      </c>
      <c r="I12" s="13" t="s">
        <v>166</v>
      </c>
      <c r="J12" s="13" t="s">
        <v>202</v>
      </c>
    </row>
    <row r="13" customFormat="false" ht="35.05" hidden="false" customHeight="false" outlineLevel="0" collapsed="false">
      <c r="A13" s="12" t="s">
        <v>203</v>
      </c>
      <c r="B13" s="12" t="s">
        <v>60</v>
      </c>
      <c r="C13" s="12" t="s">
        <v>66</v>
      </c>
      <c r="D13" s="12" t="s">
        <v>82</v>
      </c>
      <c r="E13" s="12" t="s">
        <v>100</v>
      </c>
      <c r="F13" s="12" t="s">
        <v>204</v>
      </c>
      <c r="G13" s="12" t="s">
        <v>205</v>
      </c>
      <c r="H13" s="12" t="s">
        <v>206</v>
      </c>
      <c r="I13" s="12" t="s">
        <v>160</v>
      </c>
      <c r="J13" s="12" t="s">
        <v>207</v>
      </c>
    </row>
    <row r="14" customFormat="false" ht="35.05" hidden="false" customHeight="false" outlineLevel="0" collapsed="false">
      <c r="A14" s="11" t="s">
        <v>208</v>
      </c>
      <c r="B14" s="11" t="s">
        <v>60</v>
      </c>
      <c r="C14" s="11" t="s">
        <v>66</v>
      </c>
      <c r="D14" s="11" t="s">
        <v>82</v>
      </c>
      <c r="E14" s="11" t="s">
        <v>97</v>
      </c>
      <c r="F14" s="11" t="s">
        <v>209</v>
      </c>
      <c r="G14" s="11" t="s">
        <v>210</v>
      </c>
      <c r="H14" s="11" t="s">
        <v>211</v>
      </c>
      <c r="I14" s="11" t="s">
        <v>149</v>
      </c>
      <c r="J14" s="11" t="s">
        <v>212</v>
      </c>
    </row>
    <row r="15" customFormat="false" ht="46.25" hidden="false" customHeight="false" outlineLevel="0" collapsed="false">
      <c r="A15" s="12" t="s">
        <v>213</v>
      </c>
      <c r="B15" s="12" t="s">
        <v>60</v>
      </c>
      <c r="C15" s="12" t="s">
        <v>73</v>
      </c>
      <c r="D15" s="12" t="s">
        <v>89</v>
      </c>
      <c r="E15" s="12" t="s">
        <v>97</v>
      </c>
      <c r="F15" s="12" t="s">
        <v>214</v>
      </c>
      <c r="G15" s="12" t="s">
        <v>215</v>
      </c>
      <c r="H15" s="12" t="s">
        <v>216</v>
      </c>
      <c r="I15" s="12" t="s">
        <v>160</v>
      </c>
      <c r="J15" s="12" t="s">
        <v>217</v>
      </c>
    </row>
    <row r="16" customFormat="false" ht="35.05" hidden="false" customHeight="false" outlineLevel="0" collapsed="false">
      <c r="A16" s="13" t="s">
        <v>218</v>
      </c>
      <c r="B16" s="13" t="s">
        <v>48</v>
      </c>
      <c r="C16" s="13" t="s">
        <v>66</v>
      </c>
      <c r="D16" s="13" t="s">
        <v>92</v>
      </c>
      <c r="E16" s="13" t="s">
        <v>100</v>
      </c>
      <c r="F16" s="13" t="s">
        <v>219</v>
      </c>
      <c r="G16" s="13" t="s">
        <v>220</v>
      </c>
      <c r="H16" s="13" t="s">
        <v>221</v>
      </c>
      <c r="I16" s="13" t="s">
        <v>166</v>
      </c>
      <c r="J16" s="13" t="s">
        <v>222</v>
      </c>
    </row>
    <row r="18" customFormat="false" ht="135.8" hidden="false" customHeight="false" outlineLevel="0" collapsed="false">
      <c r="A18" s="7" t="s">
        <v>223</v>
      </c>
      <c r="B18" s="7" t="s">
        <v>224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22"/>
    <col collapsed="false" customWidth="true" hidden="false" outlineLevel="0" max="4" min="4" style="0" width="78"/>
    <col collapsed="false" customWidth="true" hidden="false" outlineLevel="0" max="5" min="5" style="0" width="46"/>
  </cols>
  <sheetData>
    <row r="1" customFormat="false" ht="15" hidden="false" customHeight="false" outlineLevel="0" collapsed="false">
      <c r="A1" s="5" t="s">
        <v>225</v>
      </c>
      <c r="B1" s="5" t="s">
        <v>226</v>
      </c>
      <c r="C1" s="5" t="s">
        <v>227</v>
      </c>
      <c r="D1" s="5" t="s">
        <v>228</v>
      </c>
      <c r="E1" s="5" t="s">
        <v>229</v>
      </c>
    </row>
    <row r="2" customFormat="false" ht="23.85" hidden="false" customHeight="false" outlineLevel="0" collapsed="false">
      <c r="A2" s="10" t="s">
        <v>230</v>
      </c>
      <c r="B2" s="10" t="s">
        <v>231</v>
      </c>
      <c r="C2" s="10" t="s">
        <v>232</v>
      </c>
      <c r="D2" s="10" t="s">
        <v>233</v>
      </c>
      <c r="E2" s="10" t="s">
        <v>234</v>
      </c>
    </row>
    <row r="3" customFormat="false" ht="23.85" hidden="false" customHeight="false" outlineLevel="0" collapsed="false">
      <c r="A3" s="10" t="s">
        <v>235</v>
      </c>
      <c r="B3" s="10" t="s">
        <v>236</v>
      </c>
      <c r="C3" s="10" t="s">
        <v>237</v>
      </c>
      <c r="D3" s="10" t="s">
        <v>238</v>
      </c>
      <c r="E3" s="10" t="s">
        <v>239</v>
      </c>
    </row>
    <row r="4" customFormat="false" ht="23.85" hidden="false" customHeight="false" outlineLevel="0" collapsed="false">
      <c r="A4" s="10" t="s">
        <v>240</v>
      </c>
      <c r="B4" s="10" t="s">
        <v>241</v>
      </c>
      <c r="C4" s="10" t="s">
        <v>237</v>
      </c>
      <c r="D4" s="10" t="s">
        <v>242</v>
      </c>
      <c r="E4" s="10" t="s">
        <v>243</v>
      </c>
    </row>
    <row r="5" customFormat="false" ht="15" hidden="false" customHeight="false" outlineLevel="0" collapsed="false">
      <c r="A5" s="10" t="s">
        <v>244</v>
      </c>
      <c r="B5" s="10" t="s">
        <v>245</v>
      </c>
      <c r="C5" s="10" t="s">
        <v>237</v>
      </c>
      <c r="D5" s="10" t="s">
        <v>246</v>
      </c>
      <c r="E5" s="10" t="s">
        <v>243</v>
      </c>
    </row>
    <row r="6" customFormat="false" ht="23.85" hidden="false" customHeight="false" outlineLevel="0" collapsed="false">
      <c r="A6" s="10" t="s">
        <v>247</v>
      </c>
      <c r="B6" s="10" t="s">
        <v>248</v>
      </c>
      <c r="C6" s="10" t="s">
        <v>249</v>
      </c>
      <c r="D6" s="10" t="s">
        <v>250</v>
      </c>
      <c r="E6" s="10" t="s">
        <v>251</v>
      </c>
    </row>
    <row r="7" customFormat="false" ht="15" hidden="false" customHeight="false" outlineLevel="0" collapsed="false">
      <c r="A7" s="10" t="s">
        <v>252</v>
      </c>
      <c r="B7" s="10" t="s">
        <v>253</v>
      </c>
      <c r="C7" s="10" t="s">
        <v>254</v>
      </c>
      <c r="D7" s="10" t="s">
        <v>255</v>
      </c>
      <c r="E7" s="10" t="s">
        <v>243</v>
      </c>
    </row>
    <row r="8" customFormat="false" ht="23.85" hidden="false" customHeight="false" outlineLevel="0" collapsed="false">
      <c r="A8" s="10" t="s">
        <v>256</v>
      </c>
      <c r="B8" s="10" t="s">
        <v>257</v>
      </c>
      <c r="C8" s="10" t="s">
        <v>254</v>
      </c>
      <c r="D8" s="10" t="s">
        <v>258</v>
      </c>
      <c r="E8" s="10" t="s">
        <v>243</v>
      </c>
    </row>
    <row r="9" customFormat="false" ht="23.85" hidden="false" customHeight="false" outlineLevel="0" collapsed="false">
      <c r="A9" s="10" t="s">
        <v>259</v>
      </c>
      <c r="B9" s="10" t="s">
        <v>260</v>
      </c>
      <c r="C9" s="10" t="s">
        <v>261</v>
      </c>
      <c r="D9" s="10" t="s">
        <v>262</v>
      </c>
      <c r="E9" s="10" t="s">
        <v>263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5"/>
    <col collapsed="false" customWidth="true" hidden="false" outlineLevel="0" max="3" min="3" style="0" width="70"/>
    <col collapsed="false" customWidth="true" hidden="false" outlineLevel="0" max="4" min="4" style="0" width="26"/>
    <col collapsed="false" customWidth="true" hidden="false" outlineLevel="0" max="5" min="5" style="0" width="44"/>
    <col collapsed="false" customWidth="true" hidden="false" outlineLevel="0" max="6" min="6" style="0" width="14"/>
    <col collapsed="false" customWidth="true" hidden="false" outlineLevel="0" max="7" min="7" style="0" width="74"/>
    <col collapsed="false" customWidth="true" hidden="false" outlineLevel="0" max="8" min="8" style="0" width="60"/>
  </cols>
  <sheetData>
    <row r="1" customFormat="false" ht="23.85" hidden="false" customHeight="false" outlineLevel="0" collapsed="false">
      <c r="A1" s="5" t="s">
        <v>264</v>
      </c>
      <c r="B1" s="5" t="s">
        <v>135</v>
      </c>
      <c r="C1" s="5" t="s">
        <v>265</v>
      </c>
      <c r="D1" s="5" t="s">
        <v>266</v>
      </c>
      <c r="E1" s="5" t="s">
        <v>267</v>
      </c>
      <c r="F1" s="5" t="s">
        <v>268</v>
      </c>
      <c r="G1" s="5" t="s">
        <v>269</v>
      </c>
      <c r="H1" s="5" t="s">
        <v>270</v>
      </c>
    </row>
    <row r="2" customFormat="false" ht="15" hidden="false" customHeight="false" outlineLevel="0" collapsed="false">
      <c r="A2" s="11" t="s">
        <v>271</v>
      </c>
      <c r="B2" s="11" t="s">
        <v>145</v>
      </c>
      <c r="C2" s="11" t="s">
        <v>272</v>
      </c>
      <c r="D2" s="11" t="s">
        <v>273</v>
      </c>
      <c r="E2" s="11" t="s">
        <v>274</v>
      </c>
      <c r="F2" s="11" t="s">
        <v>275</v>
      </c>
      <c r="G2" s="11" t="s">
        <v>276</v>
      </c>
      <c r="H2" s="11"/>
    </row>
    <row r="3" customFormat="false" ht="23.85" hidden="false" customHeight="false" outlineLevel="0" collapsed="false">
      <c r="A3" s="12" t="s">
        <v>277</v>
      </c>
      <c r="B3" s="12" t="s">
        <v>145</v>
      </c>
      <c r="C3" s="12" t="s">
        <v>278</v>
      </c>
      <c r="D3" s="12" t="s">
        <v>279</v>
      </c>
      <c r="E3" s="12" t="s">
        <v>280</v>
      </c>
      <c r="F3" s="12" t="s">
        <v>281</v>
      </c>
      <c r="G3" s="12" t="s">
        <v>282</v>
      </c>
      <c r="H3" s="12"/>
    </row>
    <row r="4" customFormat="false" ht="23.85" hidden="false" customHeight="false" outlineLevel="0" collapsed="false">
      <c r="A4" s="11" t="s">
        <v>283</v>
      </c>
      <c r="B4" s="11" t="s">
        <v>151</v>
      </c>
      <c r="C4" s="11" t="s">
        <v>284</v>
      </c>
      <c r="D4" s="11" t="s">
        <v>285</v>
      </c>
      <c r="E4" s="11" t="s">
        <v>286</v>
      </c>
      <c r="F4" s="11" t="s">
        <v>275</v>
      </c>
      <c r="G4" s="11"/>
      <c r="H4" s="11"/>
    </row>
    <row r="5" customFormat="false" ht="23.85" hidden="false" customHeight="false" outlineLevel="0" collapsed="false">
      <c r="A5" s="11" t="s">
        <v>287</v>
      </c>
      <c r="B5" s="11" t="s">
        <v>151</v>
      </c>
      <c r="C5" s="11" t="s">
        <v>288</v>
      </c>
      <c r="D5" s="11" t="s">
        <v>289</v>
      </c>
      <c r="E5" s="11" t="s">
        <v>290</v>
      </c>
      <c r="F5" s="11" t="s">
        <v>275</v>
      </c>
      <c r="G5" s="11" t="s">
        <v>291</v>
      </c>
      <c r="H5" s="11"/>
    </row>
    <row r="6" customFormat="false" ht="23.85" hidden="false" customHeight="false" outlineLevel="0" collapsed="false">
      <c r="A6" s="11" t="s">
        <v>292</v>
      </c>
      <c r="B6" s="11" t="s">
        <v>156</v>
      </c>
      <c r="C6" s="11" t="s">
        <v>293</v>
      </c>
      <c r="D6" s="11" t="s">
        <v>294</v>
      </c>
      <c r="E6" s="11" t="s">
        <v>295</v>
      </c>
      <c r="F6" s="11" t="s">
        <v>275</v>
      </c>
      <c r="G6" s="11" t="s">
        <v>296</v>
      </c>
      <c r="H6" s="11"/>
    </row>
    <row r="7" customFormat="false" ht="23.85" hidden="false" customHeight="false" outlineLevel="0" collapsed="false">
      <c r="A7" s="11" t="s">
        <v>297</v>
      </c>
      <c r="B7" s="11" t="s">
        <v>156</v>
      </c>
      <c r="C7" s="11" t="s">
        <v>298</v>
      </c>
      <c r="D7" s="11" t="s">
        <v>299</v>
      </c>
      <c r="E7" s="11" t="s">
        <v>300</v>
      </c>
      <c r="F7" s="11" t="s">
        <v>275</v>
      </c>
      <c r="G7" s="11" t="s">
        <v>301</v>
      </c>
      <c r="H7" s="11"/>
    </row>
    <row r="8" customFormat="false" ht="23.85" hidden="false" customHeight="false" outlineLevel="0" collapsed="false">
      <c r="A8" s="11" t="s">
        <v>302</v>
      </c>
      <c r="B8" s="11" t="s">
        <v>162</v>
      </c>
      <c r="C8" s="11" t="s">
        <v>303</v>
      </c>
      <c r="D8" s="11" t="s">
        <v>304</v>
      </c>
      <c r="E8" s="11" t="s">
        <v>305</v>
      </c>
      <c r="F8" s="11" t="s">
        <v>275</v>
      </c>
      <c r="G8" s="11"/>
      <c r="H8" s="11"/>
    </row>
    <row r="9" customFormat="false" ht="35.05" hidden="false" customHeight="false" outlineLevel="0" collapsed="false">
      <c r="A9" s="13" t="s">
        <v>306</v>
      </c>
      <c r="B9" s="13" t="s">
        <v>162</v>
      </c>
      <c r="C9" s="13" t="s">
        <v>307</v>
      </c>
      <c r="D9" s="13" t="s">
        <v>308</v>
      </c>
      <c r="E9" s="13" t="s">
        <v>309</v>
      </c>
      <c r="F9" s="13" t="s">
        <v>310</v>
      </c>
      <c r="G9" s="13" t="s">
        <v>311</v>
      </c>
      <c r="H9" s="13"/>
    </row>
    <row r="10" customFormat="false" ht="15" hidden="false" customHeight="false" outlineLevel="0" collapsed="false">
      <c r="A10" s="11" t="s">
        <v>312</v>
      </c>
      <c r="B10" s="11" t="s">
        <v>168</v>
      </c>
      <c r="C10" s="11" t="s">
        <v>313</v>
      </c>
      <c r="D10" s="11" t="s">
        <v>314</v>
      </c>
      <c r="E10" s="11" t="s">
        <v>315</v>
      </c>
      <c r="F10" s="11" t="s">
        <v>275</v>
      </c>
      <c r="G10" s="11"/>
      <c r="H10" s="11"/>
    </row>
    <row r="11" customFormat="false" ht="23.85" hidden="false" customHeight="false" outlineLevel="0" collapsed="false">
      <c r="A11" s="11" t="s">
        <v>316</v>
      </c>
      <c r="B11" s="11" t="s">
        <v>168</v>
      </c>
      <c r="C11" s="11" t="s">
        <v>317</v>
      </c>
      <c r="D11" s="11" t="s">
        <v>318</v>
      </c>
      <c r="E11" s="11" t="s">
        <v>319</v>
      </c>
      <c r="F11" s="11" t="s">
        <v>275</v>
      </c>
      <c r="G11" s="11" t="s">
        <v>320</v>
      </c>
      <c r="H11" s="11"/>
    </row>
    <row r="12" customFormat="false" ht="23.85" hidden="false" customHeight="false" outlineLevel="0" collapsed="false">
      <c r="A12" s="11" t="s">
        <v>321</v>
      </c>
      <c r="B12" s="11" t="s">
        <v>173</v>
      </c>
      <c r="C12" s="11" t="s">
        <v>322</v>
      </c>
      <c r="D12" s="11" t="s">
        <v>323</v>
      </c>
      <c r="E12" s="11" t="s">
        <v>324</v>
      </c>
      <c r="F12" s="11" t="s">
        <v>275</v>
      </c>
      <c r="G12" s="11"/>
      <c r="H12" s="11"/>
    </row>
    <row r="13" customFormat="false" ht="23.85" hidden="false" customHeight="false" outlineLevel="0" collapsed="false">
      <c r="A13" s="13" t="s">
        <v>325</v>
      </c>
      <c r="B13" s="13" t="s">
        <v>173</v>
      </c>
      <c r="C13" s="13" t="s">
        <v>326</v>
      </c>
      <c r="D13" s="13" t="s">
        <v>327</v>
      </c>
      <c r="E13" s="13" t="s">
        <v>328</v>
      </c>
      <c r="F13" s="13" t="s">
        <v>310</v>
      </c>
      <c r="G13" s="13" t="s">
        <v>329</v>
      </c>
      <c r="H13" s="13" t="s">
        <v>330</v>
      </c>
    </row>
    <row r="14" customFormat="false" ht="23.85" hidden="false" customHeight="false" outlineLevel="0" collapsed="false">
      <c r="A14" s="11" t="s">
        <v>331</v>
      </c>
      <c r="B14" s="11" t="s">
        <v>178</v>
      </c>
      <c r="C14" s="11" t="s">
        <v>332</v>
      </c>
      <c r="D14" s="11" t="s">
        <v>333</v>
      </c>
      <c r="E14" s="11" t="s">
        <v>334</v>
      </c>
      <c r="F14" s="11" t="s">
        <v>275</v>
      </c>
      <c r="G14" s="11" t="s">
        <v>335</v>
      </c>
      <c r="H14" s="11"/>
    </row>
    <row r="15" customFormat="false" ht="23.85" hidden="false" customHeight="false" outlineLevel="0" collapsed="false">
      <c r="A15" s="11" t="s">
        <v>336</v>
      </c>
      <c r="B15" s="11" t="s">
        <v>178</v>
      </c>
      <c r="C15" s="11" t="s">
        <v>337</v>
      </c>
      <c r="D15" s="11" t="s">
        <v>338</v>
      </c>
      <c r="E15" s="11" t="s">
        <v>339</v>
      </c>
      <c r="F15" s="11" t="s">
        <v>275</v>
      </c>
      <c r="G15" s="11" t="s">
        <v>340</v>
      </c>
      <c r="H15" s="11"/>
    </row>
    <row r="16" customFormat="false" ht="23.85" hidden="false" customHeight="false" outlineLevel="0" collapsed="false">
      <c r="A16" s="11" t="s">
        <v>341</v>
      </c>
      <c r="B16" s="11" t="s">
        <v>183</v>
      </c>
      <c r="C16" s="11" t="s">
        <v>342</v>
      </c>
      <c r="D16" s="11" t="s">
        <v>343</v>
      </c>
      <c r="E16" s="11" t="s">
        <v>344</v>
      </c>
      <c r="F16" s="11" t="s">
        <v>275</v>
      </c>
      <c r="G16" s="11"/>
      <c r="H16" s="11"/>
    </row>
    <row r="17" customFormat="false" ht="23.85" hidden="false" customHeight="false" outlineLevel="0" collapsed="false">
      <c r="A17" s="12" t="s">
        <v>345</v>
      </c>
      <c r="B17" s="12" t="s">
        <v>183</v>
      </c>
      <c r="C17" s="12" t="s">
        <v>346</v>
      </c>
      <c r="D17" s="12" t="s">
        <v>347</v>
      </c>
      <c r="E17" s="12" t="s">
        <v>348</v>
      </c>
      <c r="F17" s="12" t="s">
        <v>281</v>
      </c>
      <c r="G17" s="12" t="s">
        <v>349</v>
      </c>
      <c r="H17" s="12"/>
    </row>
    <row r="18" customFormat="false" ht="15" hidden="false" customHeight="false" outlineLevel="0" collapsed="false">
      <c r="A18" s="11" t="s">
        <v>350</v>
      </c>
      <c r="B18" s="11" t="s">
        <v>188</v>
      </c>
      <c r="C18" s="11" t="s">
        <v>351</v>
      </c>
      <c r="D18" s="11" t="s">
        <v>352</v>
      </c>
      <c r="E18" s="11" t="s">
        <v>353</v>
      </c>
      <c r="F18" s="11" t="s">
        <v>275</v>
      </c>
      <c r="G18" s="11"/>
      <c r="H18" s="11"/>
    </row>
    <row r="19" customFormat="false" ht="23.85" hidden="false" customHeight="false" outlineLevel="0" collapsed="false">
      <c r="A19" s="11" t="s">
        <v>354</v>
      </c>
      <c r="B19" s="11" t="s">
        <v>188</v>
      </c>
      <c r="C19" s="11" t="s">
        <v>355</v>
      </c>
      <c r="D19" s="11" t="s">
        <v>356</v>
      </c>
      <c r="E19" s="11" t="s">
        <v>357</v>
      </c>
      <c r="F19" s="11" t="s">
        <v>275</v>
      </c>
      <c r="G19" s="11" t="s">
        <v>358</v>
      </c>
      <c r="H19" s="11"/>
    </row>
    <row r="20" customFormat="false" ht="23.85" hidden="false" customHeight="false" outlineLevel="0" collapsed="false">
      <c r="A20" s="11" t="s">
        <v>359</v>
      </c>
      <c r="B20" s="11" t="s">
        <v>193</v>
      </c>
      <c r="C20" s="11" t="s">
        <v>360</v>
      </c>
      <c r="D20" s="11" t="s">
        <v>361</v>
      </c>
      <c r="E20" s="11" t="s">
        <v>362</v>
      </c>
      <c r="F20" s="11" t="s">
        <v>275</v>
      </c>
      <c r="G20" s="11"/>
      <c r="H20" s="11"/>
    </row>
    <row r="21" customFormat="false" ht="15" hidden="false" customHeight="false" outlineLevel="0" collapsed="false">
      <c r="A21" s="11" t="s">
        <v>363</v>
      </c>
      <c r="B21" s="11" t="s">
        <v>193</v>
      </c>
      <c r="C21" s="11" t="s">
        <v>364</v>
      </c>
      <c r="D21" s="11" t="s">
        <v>365</v>
      </c>
      <c r="E21" s="11" t="s">
        <v>366</v>
      </c>
      <c r="F21" s="11" t="s">
        <v>275</v>
      </c>
      <c r="G21" s="11"/>
      <c r="H21" s="11"/>
    </row>
    <row r="22" customFormat="false" ht="23.85" hidden="false" customHeight="false" outlineLevel="0" collapsed="false">
      <c r="A22" s="11" t="s">
        <v>367</v>
      </c>
      <c r="B22" s="11" t="s">
        <v>198</v>
      </c>
      <c r="C22" s="11" t="s">
        <v>368</v>
      </c>
      <c r="D22" s="11" t="s">
        <v>369</v>
      </c>
      <c r="E22" s="11" t="s">
        <v>370</v>
      </c>
      <c r="F22" s="11" t="s">
        <v>275</v>
      </c>
      <c r="G22" s="11"/>
      <c r="H22" s="11"/>
    </row>
    <row r="23" customFormat="false" ht="15" hidden="false" customHeight="false" outlineLevel="0" collapsed="false">
      <c r="A23" s="11" t="s">
        <v>371</v>
      </c>
      <c r="B23" s="11" t="s">
        <v>198</v>
      </c>
      <c r="C23" s="11" t="s">
        <v>372</v>
      </c>
      <c r="D23" s="11" t="s">
        <v>373</v>
      </c>
      <c r="E23" s="11" t="s">
        <v>374</v>
      </c>
      <c r="F23" s="11" t="s">
        <v>275</v>
      </c>
      <c r="G23" s="11" t="s">
        <v>375</v>
      </c>
      <c r="H23" s="11"/>
    </row>
    <row r="24" customFormat="false" ht="15" hidden="false" customHeight="false" outlineLevel="0" collapsed="false">
      <c r="A24" s="11" t="s">
        <v>376</v>
      </c>
      <c r="B24" s="11" t="s">
        <v>203</v>
      </c>
      <c r="C24" s="11" t="s">
        <v>377</v>
      </c>
      <c r="D24" s="11" t="s">
        <v>378</v>
      </c>
      <c r="E24" s="11" t="s">
        <v>379</v>
      </c>
      <c r="F24" s="11" t="s">
        <v>275</v>
      </c>
      <c r="G24" s="11" t="s">
        <v>380</v>
      </c>
      <c r="H24" s="11"/>
    </row>
    <row r="25" customFormat="false" ht="23.85" hidden="false" customHeight="false" outlineLevel="0" collapsed="false">
      <c r="A25" s="11" t="s">
        <v>381</v>
      </c>
      <c r="B25" s="11" t="s">
        <v>203</v>
      </c>
      <c r="C25" s="11" t="s">
        <v>382</v>
      </c>
      <c r="D25" s="11" t="s">
        <v>383</v>
      </c>
      <c r="E25" s="11" t="s">
        <v>384</v>
      </c>
      <c r="F25" s="11" t="s">
        <v>275</v>
      </c>
      <c r="G25" s="11"/>
      <c r="H25" s="11"/>
    </row>
    <row r="26" customFormat="false" ht="15" hidden="false" customHeight="false" outlineLevel="0" collapsed="false">
      <c r="A26" s="11" t="s">
        <v>385</v>
      </c>
      <c r="B26" s="11" t="s">
        <v>208</v>
      </c>
      <c r="C26" s="11" t="s">
        <v>386</v>
      </c>
      <c r="D26" s="11" t="s">
        <v>387</v>
      </c>
      <c r="E26" s="11" t="s">
        <v>388</v>
      </c>
      <c r="F26" s="11" t="s">
        <v>275</v>
      </c>
      <c r="G26" s="11"/>
      <c r="H26" s="11"/>
    </row>
    <row r="27" customFormat="false" ht="23.85" hidden="false" customHeight="false" outlineLevel="0" collapsed="false">
      <c r="A27" s="12" t="s">
        <v>389</v>
      </c>
      <c r="B27" s="12" t="s">
        <v>208</v>
      </c>
      <c r="C27" s="12" t="s">
        <v>390</v>
      </c>
      <c r="D27" s="12" t="s">
        <v>391</v>
      </c>
      <c r="E27" s="12" t="s">
        <v>392</v>
      </c>
      <c r="F27" s="12" t="s">
        <v>281</v>
      </c>
      <c r="G27" s="12" t="s">
        <v>393</v>
      </c>
      <c r="H27" s="12"/>
    </row>
    <row r="28" customFormat="false" ht="23.85" hidden="false" customHeight="false" outlineLevel="0" collapsed="false">
      <c r="A28" s="11" t="s">
        <v>394</v>
      </c>
      <c r="B28" s="11" t="s">
        <v>213</v>
      </c>
      <c r="C28" s="11" t="s">
        <v>395</v>
      </c>
      <c r="D28" s="11" t="s">
        <v>396</v>
      </c>
      <c r="E28" s="11" t="s">
        <v>397</v>
      </c>
      <c r="F28" s="11" t="s">
        <v>275</v>
      </c>
      <c r="G28" s="11" t="s">
        <v>398</v>
      </c>
      <c r="H28" s="11"/>
    </row>
    <row r="29" customFormat="false" ht="23.85" hidden="false" customHeight="false" outlineLevel="0" collapsed="false">
      <c r="A29" s="11" t="s">
        <v>399</v>
      </c>
      <c r="B29" s="11" t="s">
        <v>213</v>
      </c>
      <c r="C29" s="11" t="s">
        <v>400</v>
      </c>
      <c r="D29" s="11" t="s">
        <v>401</v>
      </c>
      <c r="E29" s="11" t="s">
        <v>402</v>
      </c>
      <c r="F29" s="11" t="s">
        <v>275</v>
      </c>
      <c r="G29" s="11" t="s">
        <v>403</v>
      </c>
      <c r="H29" s="11"/>
    </row>
    <row r="30" customFormat="false" ht="23.85" hidden="false" customHeight="false" outlineLevel="0" collapsed="false">
      <c r="A30" s="11" t="s">
        <v>404</v>
      </c>
      <c r="B30" s="11" t="s">
        <v>218</v>
      </c>
      <c r="C30" s="11" t="s">
        <v>405</v>
      </c>
      <c r="D30" s="11" t="s">
        <v>406</v>
      </c>
      <c r="E30" s="11" t="s">
        <v>407</v>
      </c>
      <c r="F30" s="11" t="s">
        <v>275</v>
      </c>
      <c r="G30" s="11"/>
      <c r="H30" s="11"/>
    </row>
    <row r="31" customFormat="false" ht="23.85" hidden="false" customHeight="false" outlineLevel="0" collapsed="false">
      <c r="A31" s="12" t="s">
        <v>408</v>
      </c>
      <c r="B31" s="12" t="s">
        <v>218</v>
      </c>
      <c r="C31" s="12" t="s">
        <v>409</v>
      </c>
      <c r="D31" s="12" t="s">
        <v>410</v>
      </c>
      <c r="E31" s="12" t="s">
        <v>411</v>
      </c>
      <c r="F31" s="12" t="s">
        <v>281</v>
      </c>
      <c r="G31" s="12" t="s">
        <v>412</v>
      </c>
      <c r="H31" s="12"/>
    </row>
    <row r="33" customFormat="false" ht="91" hidden="false" customHeight="false" outlineLevel="0" collapsed="false">
      <c r="A33" s="7" t="s">
        <v>413</v>
      </c>
      <c r="B33" s="7" t="s">
        <v>414</v>
      </c>
    </row>
    <row r="34" customFormat="false" ht="158.2" hidden="false" customHeight="false" outlineLevel="0" collapsed="false">
      <c r="A34" s="8" t="s">
        <v>415</v>
      </c>
      <c r="B34" s="8" t="s">
        <v>416</v>
      </c>
    </row>
    <row r="35" customFormat="false" ht="158.2" hidden="false" customHeight="false" outlineLevel="0" collapsed="false">
      <c r="A35" s="8" t="s">
        <v>417</v>
      </c>
      <c r="B35" s="8" t="s">
        <v>418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60"/>
    <col collapsed="false" customWidth="true" hidden="false" outlineLevel="0" max="3" min="3" style="0" width="54"/>
    <col collapsed="false" customWidth="true" hidden="false" outlineLevel="0" max="4" min="4" style="0" width="86"/>
    <col collapsed="false" customWidth="true" hidden="false" outlineLevel="0" max="5" min="5" style="0" width="66"/>
    <col collapsed="false" customWidth="true" hidden="false" outlineLevel="0" max="6" min="6" style="0" width="20"/>
    <col collapsed="false" customWidth="true" hidden="false" outlineLevel="0" max="7" min="7" style="0" width="14"/>
    <col collapsed="false" customWidth="true" hidden="false" outlineLevel="0" max="8" min="8" style="0" width="20"/>
    <col collapsed="false" customWidth="true" hidden="false" outlineLevel="0" max="9" min="9" style="0" width="18"/>
    <col collapsed="false" customWidth="true" hidden="false" outlineLevel="0" max="10" min="10" style="0" width="20"/>
    <col collapsed="false" customWidth="true" hidden="false" outlineLevel="0" max="11" min="11" style="0" width="14"/>
    <col collapsed="false" customWidth="true" hidden="false" outlineLevel="0" max="12" min="12" style="0" width="44"/>
    <col collapsed="false" customWidth="true" hidden="false" outlineLevel="0" max="13" min="13" style="0" width="22"/>
    <col collapsed="false" customWidth="true" hidden="false" outlineLevel="0" max="14" min="14" style="0" width="26"/>
    <col collapsed="false" customWidth="true" hidden="false" outlineLevel="0" max="15" min="15" style="0" width="14"/>
  </cols>
  <sheetData>
    <row r="1" customFormat="false" ht="15" hidden="false" customHeight="false" outlineLevel="0" collapsed="false">
      <c r="A1" s="5" t="s">
        <v>419</v>
      </c>
      <c r="B1" s="5" t="s">
        <v>420</v>
      </c>
      <c r="C1" s="5" t="s">
        <v>421</v>
      </c>
      <c r="D1" s="5" t="s">
        <v>422</v>
      </c>
      <c r="E1" s="5" t="s">
        <v>423</v>
      </c>
      <c r="F1" s="5" t="s">
        <v>143</v>
      </c>
      <c r="G1" s="5" t="s">
        <v>135</v>
      </c>
      <c r="H1" s="5" t="s">
        <v>424</v>
      </c>
      <c r="I1" s="5" t="s">
        <v>425</v>
      </c>
      <c r="J1" s="5" t="s">
        <v>426</v>
      </c>
      <c r="K1" s="5" t="s">
        <v>427</v>
      </c>
      <c r="L1" s="5" t="s">
        <v>428</v>
      </c>
      <c r="M1" s="5" t="s">
        <v>429</v>
      </c>
      <c r="N1" s="5" t="s">
        <v>266</v>
      </c>
      <c r="O1" s="5" t="s">
        <v>430</v>
      </c>
    </row>
    <row r="2" customFormat="false" ht="23.85" hidden="false" customHeight="false" outlineLevel="0" collapsed="false">
      <c r="A2" s="11" t="s">
        <v>431</v>
      </c>
      <c r="B2" s="11" t="s">
        <v>272</v>
      </c>
      <c r="C2" s="11" t="s">
        <v>432</v>
      </c>
      <c r="D2" s="11" t="s">
        <v>433</v>
      </c>
      <c r="E2" s="11" t="s">
        <v>434</v>
      </c>
      <c r="F2" s="11" t="s">
        <v>149</v>
      </c>
      <c r="G2" s="11" t="s">
        <v>145</v>
      </c>
      <c r="H2" s="11" t="s">
        <v>48</v>
      </c>
      <c r="I2" s="11" t="s">
        <v>66</v>
      </c>
      <c r="J2" s="11" t="s">
        <v>82</v>
      </c>
      <c r="K2" s="11" t="s">
        <v>100</v>
      </c>
      <c r="L2" s="11" t="s">
        <v>435</v>
      </c>
      <c r="M2" s="11" t="s">
        <v>436</v>
      </c>
      <c r="N2" s="11" t="s">
        <v>273</v>
      </c>
      <c r="O2" s="11" t="s">
        <v>271</v>
      </c>
    </row>
    <row r="3" customFormat="false" ht="23.85" hidden="false" customHeight="false" outlineLevel="0" collapsed="false">
      <c r="A3" s="11" t="s">
        <v>437</v>
      </c>
      <c r="B3" s="11" t="s">
        <v>284</v>
      </c>
      <c r="C3" s="11" t="s">
        <v>438</v>
      </c>
      <c r="D3" s="11" t="s">
        <v>439</v>
      </c>
      <c r="E3" s="11" t="s">
        <v>440</v>
      </c>
      <c r="F3" s="11" t="s">
        <v>149</v>
      </c>
      <c r="G3" s="11" t="s">
        <v>151</v>
      </c>
      <c r="H3" s="11" t="s">
        <v>48</v>
      </c>
      <c r="I3" s="11" t="s">
        <v>66</v>
      </c>
      <c r="J3" s="11" t="s">
        <v>85</v>
      </c>
      <c r="K3" s="11" t="s">
        <v>97</v>
      </c>
      <c r="L3" s="11" t="s">
        <v>441</v>
      </c>
      <c r="M3" s="11" t="s">
        <v>442</v>
      </c>
      <c r="N3" s="11" t="s">
        <v>285</v>
      </c>
      <c r="O3" s="11" t="s">
        <v>283</v>
      </c>
    </row>
    <row r="4" customFormat="false" ht="23.85" hidden="false" customHeight="false" outlineLevel="0" collapsed="false">
      <c r="A4" s="11" t="s">
        <v>443</v>
      </c>
      <c r="B4" s="11" t="s">
        <v>288</v>
      </c>
      <c r="C4" s="11" t="s">
        <v>438</v>
      </c>
      <c r="D4" s="11" t="s">
        <v>444</v>
      </c>
      <c r="E4" s="11" t="s">
        <v>445</v>
      </c>
      <c r="F4" s="11" t="s">
        <v>149</v>
      </c>
      <c r="G4" s="11" t="s">
        <v>151</v>
      </c>
      <c r="H4" s="11" t="s">
        <v>48</v>
      </c>
      <c r="I4" s="11" t="s">
        <v>66</v>
      </c>
      <c r="J4" s="11" t="s">
        <v>85</v>
      </c>
      <c r="K4" s="11" t="s">
        <v>97</v>
      </c>
      <c r="L4" s="11" t="s">
        <v>441</v>
      </c>
      <c r="M4" s="11" t="s">
        <v>446</v>
      </c>
      <c r="N4" s="11" t="s">
        <v>289</v>
      </c>
      <c r="O4" s="11" t="s">
        <v>287</v>
      </c>
    </row>
    <row r="5" customFormat="false" ht="35.05" hidden="false" customHeight="false" outlineLevel="0" collapsed="false">
      <c r="A5" s="12" t="s">
        <v>447</v>
      </c>
      <c r="B5" s="12" t="s">
        <v>293</v>
      </c>
      <c r="C5" s="12" t="s">
        <v>448</v>
      </c>
      <c r="D5" s="12" t="s">
        <v>449</v>
      </c>
      <c r="E5" s="12" t="s">
        <v>450</v>
      </c>
      <c r="F5" s="12" t="s">
        <v>160</v>
      </c>
      <c r="G5" s="12" t="s">
        <v>156</v>
      </c>
      <c r="H5" s="12" t="s">
        <v>48</v>
      </c>
      <c r="I5" s="12" t="s">
        <v>76</v>
      </c>
      <c r="J5" s="12" t="s">
        <v>82</v>
      </c>
      <c r="K5" s="12" t="s">
        <v>100</v>
      </c>
      <c r="L5" s="12" t="s">
        <v>451</v>
      </c>
      <c r="M5" s="12" t="s">
        <v>452</v>
      </c>
      <c r="N5" s="12" t="s">
        <v>294</v>
      </c>
      <c r="O5" s="12" t="s">
        <v>292</v>
      </c>
    </row>
    <row r="6" customFormat="false" ht="23.85" hidden="false" customHeight="false" outlineLevel="0" collapsed="false">
      <c r="A6" s="12" t="s">
        <v>453</v>
      </c>
      <c r="B6" s="12" t="s">
        <v>298</v>
      </c>
      <c r="C6" s="12" t="s">
        <v>448</v>
      </c>
      <c r="D6" s="12" t="s">
        <v>454</v>
      </c>
      <c r="E6" s="12" t="s">
        <v>455</v>
      </c>
      <c r="F6" s="12" t="s">
        <v>160</v>
      </c>
      <c r="G6" s="12" t="s">
        <v>156</v>
      </c>
      <c r="H6" s="12" t="s">
        <v>48</v>
      </c>
      <c r="I6" s="12" t="s">
        <v>76</v>
      </c>
      <c r="J6" s="12" t="s">
        <v>82</v>
      </c>
      <c r="K6" s="12" t="s">
        <v>100</v>
      </c>
      <c r="L6" s="12" t="s">
        <v>456</v>
      </c>
      <c r="M6" s="12" t="s">
        <v>457</v>
      </c>
      <c r="N6" s="12" t="s">
        <v>299</v>
      </c>
      <c r="O6" s="12" t="s">
        <v>297</v>
      </c>
    </row>
    <row r="7" customFormat="false" ht="23.85" hidden="false" customHeight="false" outlineLevel="0" collapsed="false">
      <c r="A7" s="13" t="s">
        <v>458</v>
      </c>
      <c r="B7" s="13" t="s">
        <v>303</v>
      </c>
      <c r="C7" s="13" t="s">
        <v>459</v>
      </c>
      <c r="D7" s="13" t="s">
        <v>460</v>
      </c>
      <c r="E7" s="13" t="s">
        <v>461</v>
      </c>
      <c r="F7" s="13" t="s">
        <v>166</v>
      </c>
      <c r="G7" s="13" t="s">
        <v>162</v>
      </c>
      <c r="H7" s="13" t="s">
        <v>48</v>
      </c>
      <c r="I7" s="13" t="s">
        <v>70</v>
      </c>
      <c r="J7" s="13" t="s">
        <v>82</v>
      </c>
      <c r="K7" s="13" t="s">
        <v>97</v>
      </c>
      <c r="L7" s="13" t="s">
        <v>462</v>
      </c>
      <c r="M7" s="13" t="s">
        <v>463</v>
      </c>
      <c r="N7" s="13" t="s">
        <v>304</v>
      </c>
      <c r="O7" s="13" t="s">
        <v>302</v>
      </c>
    </row>
    <row r="8" customFormat="false" ht="23.85" hidden="false" customHeight="false" outlineLevel="0" collapsed="false">
      <c r="A8" s="13" t="s">
        <v>464</v>
      </c>
      <c r="B8" s="13" t="s">
        <v>307</v>
      </c>
      <c r="C8" s="13" t="s">
        <v>459</v>
      </c>
      <c r="D8" s="13" t="s">
        <v>465</v>
      </c>
      <c r="E8" s="13" t="s">
        <v>466</v>
      </c>
      <c r="F8" s="13" t="s">
        <v>166</v>
      </c>
      <c r="G8" s="13" t="s">
        <v>162</v>
      </c>
      <c r="H8" s="13" t="s">
        <v>48</v>
      </c>
      <c r="I8" s="13" t="s">
        <v>70</v>
      </c>
      <c r="J8" s="13" t="s">
        <v>82</v>
      </c>
      <c r="K8" s="13" t="s">
        <v>97</v>
      </c>
      <c r="L8" s="13" t="s">
        <v>467</v>
      </c>
      <c r="M8" s="13" t="s">
        <v>463</v>
      </c>
      <c r="N8" s="13" t="s">
        <v>308</v>
      </c>
      <c r="O8" s="13" t="s">
        <v>306</v>
      </c>
    </row>
    <row r="9" customFormat="false" ht="35.05" hidden="false" customHeight="false" outlineLevel="0" collapsed="false">
      <c r="A9" s="11" t="s">
        <v>468</v>
      </c>
      <c r="B9" s="11" t="s">
        <v>313</v>
      </c>
      <c r="C9" s="11" t="s">
        <v>469</v>
      </c>
      <c r="D9" s="11" t="s">
        <v>470</v>
      </c>
      <c r="E9" s="11" t="s">
        <v>471</v>
      </c>
      <c r="F9" s="11" t="s">
        <v>149</v>
      </c>
      <c r="G9" s="11" t="s">
        <v>168</v>
      </c>
      <c r="H9" s="11" t="s">
        <v>52</v>
      </c>
      <c r="I9" s="11" t="s">
        <v>66</v>
      </c>
      <c r="J9" s="11" t="s">
        <v>82</v>
      </c>
      <c r="K9" s="11" t="s">
        <v>100</v>
      </c>
      <c r="L9" s="11" t="s">
        <v>472</v>
      </c>
      <c r="M9" s="11" t="s">
        <v>473</v>
      </c>
      <c r="N9" s="11" t="s">
        <v>314</v>
      </c>
      <c r="O9" s="11" t="s">
        <v>312</v>
      </c>
    </row>
    <row r="10" customFormat="false" ht="23.85" hidden="false" customHeight="false" outlineLevel="0" collapsed="false">
      <c r="A10" s="11" t="s">
        <v>474</v>
      </c>
      <c r="B10" s="11" t="s">
        <v>317</v>
      </c>
      <c r="C10" s="11" t="s">
        <v>469</v>
      </c>
      <c r="D10" s="11" t="s">
        <v>475</v>
      </c>
      <c r="E10" s="11" t="s">
        <v>476</v>
      </c>
      <c r="F10" s="11" t="s">
        <v>149</v>
      </c>
      <c r="G10" s="11" t="s">
        <v>168</v>
      </c>
      <c r="H10" s="11" t="s">
        <v>52</v>
      </c>
      <c r="I10" s="11" t="s">
        <v>66</v>
      </c>
      <c r="J10" s="11" t="s">
        <v>82</v>
      </c>
      <c r="K10" s="11" t="s">
        <v>100</v>
      </c>
      <c r="L10" s="11" t="s">
        <v>477</v>
      </c>
      <c r="M10" s="11" t="s">
        <v>478</v>
      </c>
      <c r="N10" s="11" t="s">
        <v>318</v>
      </c>
      <c r="O10" s="11" t="s">
        <v>316</v>
      </c>
    </row>
    <row r="11" customFormat="false" ht="23.85" hidden="false" customHeight="false" outlineLevel="0" collapsed="false">
      <c r="A11" s="13" t="s">
        <v>479</v>
      </c>
      <c r="B11" s="13" t="s">
        <v>322</v>
      </c>
      <c r="C11" s="13" t="s">
        <v>480</v>
      </c>
      <c r="D11" s="13" t="s">
        <v>481</v>
      </c>
      <c r="E11" s="13" t="s">
        <v>482</v>
      </c>
      <c r="F11" s="13" t="s">
        <v>166</v>
      </c>
      <c r="G11" s="13" t="s">
        <v>173</v>
      </c>
      <c r="H11" s="13" t="s">
        <v>52</v>
      </c>
      <c r="I11" s="13" t="s">
        <v>66</v>
      </c>
      <c r="J11" s="13" t="s">
        <v>85</v>
      </c>
      <c r="K11" s="13" t="s">
        <v>97</v>
      </c>
      <c r="L11" s="13" t="s">
        <v>483</v>
      </c>
      <c r="M11" s="13" t="s">
        <v>484</v>
      </c>
      <c r="N11" s="13" t="s">
        <v>323</v>
      </c>
      <c r="O11" s="13" t="s">
        <v>321</v>
      </c>
    </row>
    <row r="12" customFormat="false" ht="23.85" hidden="false" customHeight="false" outlineLevel="0" collapsed="false">
      <c r="A12" s="13" t="s">
        <v>485</v>
      </c>
      <c r="B12" s="13" t="s">
        <v>330</v>
      </c>
      <c r="C12" s="13" t="s">
        <v>480</v>
      </c>
      <c r="D12" s="13" t="s">
        <v>486</v>
      </c>
      <c r="E12" s="13" t="s">
        <v>487</v>
      </c>
      <c r="F12" s="13" t="s">
        <v>166</v>
      </c>
      <c r="G12" s="13" t="s">
        <v>173</v>
      </c>
      <c r="H12" s="13" t="s">
        <v>52</v>
      </c>
      <c r="I12" s="13" t="s">
        <v>66</v>
      </c>
      <c r="J12" s="13" t="s">
        <v>85</v>
      </c>
      <c r="K12" s="13" t="s">
        <v>97</v>
      </c>
      <c r="L12" s="13" t="s">
        <v>456</v>
      </c>
      <c r="M12" s="13" t="s">
        <v>484</v>
      </c>
      <c r="N12" s="13" t="s">
        <v>327</v>
      </c>
      <c r="O12" s="13" t="s">
        <v>488</v>
      </c>
    </row>
    <row r="13" customFormat="false" ht="35.05" hidden="false" customHeight="false" outlineLevel="0" collapsed="false">
      <c r="A13" s="12" t="s">
        <v>489</v>
      </c>
      <c r="B13" s="12" t="s">
        <v>332</v>
      </c>
      <c r="C13" s="12" t="s">
        <v>490</v>
      </c>
      <c r="D13" s="12" t="s">
        <v>491</v>
      </c>
      <c r="E13" s="12" t="s">
        <v>492</v>
      </c>
      <c r="F13" s="12" t="s">
        <v>160</v>
      </c>
      <c r="G13" s="12" t="s">
        <v>178</v>
      </c>
      <c r="H13" s="12" t="s">
        <v>52</v>
      </c>
      <c r="I13" s="12" t="s">
        <v>70</v>
      </c>
      <c r="J13" s="12" t="s">
        <v>85</v>
      </c>
      <c r="K13" s="12" t="s">
        <v>100</v>
      </c>
      <c r="L13" s="12" t="s">
        <v>493</v>
      </c>
      <c r="M13" s="12" t="s">
        <v>494</v>
      </c>
      <c r="N13" s="12" t="s">
        <v>333</v>
      </c>
      <c r="O13" s="12" t="s">
        <v>331</v>
      </c>
    </row>
    <row r="14" customFormat="false" ht="23.85" hidden="false" customHeight="false" outlineLevel="0" collapsed="false">
      <c r="A14" s="12" t="s">
        <v>495</v>
      </c>
      <c r="B14" s="12" t="s">
        <v>337</v>
      </c>
      <c r="C14" s="12" t="s">
        <v>490</v>
      </c>
      <c r="D14" s="12" t="s">
        <v>496</v>
      </c>
      <c r="E14" s="12" t="s">
        <v>497</v>
      </c>
      <c r="F14" s="12" t="s">
        <v>160</v>
      </c>
      <c r="G14" s="12" t="s">
        <v>178</v>
      </c>
      <c r="H14" s="12" t="s">
        <v>52</v>
      </c>
      <c r="I14" s="12" t="s">
        <v>70</v>
      </c>
      <c r="J14" s="12" t="s">
        <v>85</v>
      </c>
      <c r="K14" s="12" t="s">
        <v>100</v>
      </c>
      <c r="L14" s="12" t="s">
        <v>456</v>
      </c>
      <c r="M14" s="12" t="s">
        <v>498</v>
      </c>
      <c r="N14" s="12" t="s">
        <v>338</v>
      </c>
      <c r="O14" s="12" t="s">
        <v>336</v>
      </c>
    </row>
    <row r="15" customFormat="false" ht="23.85" hidden="false" customHeight="false" outlineLevel="0" collapsed="false">
      <c r="A15" s="13" t="s">
        <v>499</v>
      </c>
      <c r="B15" s="13" t="s">
        <v>342</v>
      </c>
      <c r="C15" s="13" t="s">
        <v>500</v>
      </c>
      <c r="D15" s="13" t="s">
        <v>501</v>
      </c>
      <c r="E15" s="13" t="s">
        <v>502</v>
      </c>
      <c r="F15" s="13" t="s">
        <v>166</v>
      </c>
      <c r="G15" s="13" t="s">
        <v>183</v>
      </c>
      <c r="H15" s="13" t="s">
        <v>52</v>
      </c>
      <c r="I15" s="13" t="s">
        <v>73</v>
      </c>
      <c r="J15" s="13" t="s">
        <v>82</v>
      </c>
      <c r="K15" s="13" t="s">
        <v>97</v>
      </c>
      <c r="L15" s="13" t="s">
        <v>503</v>
      </c>
      <c r="M15" s="13" t="s">
        <v>504</v>
      </c>
      <c r="N15" s="13" t="s">
        <v>343</v>
      </c>
      <c r="O15" s="13" t="s">
        <v>341</v>
      </c>
    </row>
    <row r="16" customFormat="false" ht="35.05" hidden="false" customHeight="false" outlineLevel="0" collapsed="false">
      <c r="A16" s="12" t="s">
        <v>505</v>
      </c>
      <c r="B16" s="12" t="s">
        <v>351</v>
      </c>
      <c r="C16" s="12" t="s">
        <v>506</v>
      </c>
      <c r="D16" s="12" t="s">
        <v>507</v>
      </c>
      <c r="E16" s="12" t="s">
        <v>508</v>
      </c>
      <c r="F16" s="12" t="s">
        <v>160</v>
      </c>
      <c r="G16" s="12" t="s">
        <v>188</v>
      </c>
      <c r="H16" s="12" t="s">
        <v>56</v>
      </c>
      <c r="I16" s="12" t="s">
        <v>66</v>
      </c>
      <c r="J16" s="12" t="s">
        <v>82</v>
      </c>
      <c r="K16" s="12" t="s">
        <v>100</v>
      </c>
      <c r="L16" s="12" t="s">
        <v>509</v>
      </c>
      <c r="M16" s="12" t="s">
        <v>510</v>
      </c>
      <c r="N16" s="12" t="s">
        <v>352</v>
      </c>
      <c r="O16" s="12" t="s">
        <v>350</v>
      </c>
    </row>
    <row r="17" customFormat="false" ht="23.85" hidden="false" customHeight="false" outlineLevel="0" collapsed="false">
      <c r="A17" s="12" t="s">
        <v>511</v>
      </c>
      <c r="B17" s="12" t="s">
        <v>355</v>
      </c>
      <c r="C17" s="12" t="s">
        <v>506</v>
      </c>
      <c r="D17" s="12" t="s">
        <v>512</v>
      </c>
      <c r="E17" s="12" t="s">
        <v>513</v>
      </c>
      <c r="F17" s="12" t="s">
        <v>160</v>
      </c>
      <c r="G17" s="12" t="s">
        <v>188</v>
      </c>
      <c r="H17" s="12" t="s">
        <v>56</v>
      </c>
      <c r="I17" s="12" t="s">
        <v>66</v>
      </c>
      <c r="J17" s="12" t="s">
        <v>82</v>
      </c>
      <c r="K17" s="12" t="s">
        <v>100</v>
      </c>
      <c r="L17" s="12" t="s">
        <v>456</v>
      </c>
      <c r="M17" s="12" t="s">
        <v>514</v>
      </c>
      <c r="N17" s="12" t="s">
        <v>356</v>
      </c>
      <c r="O17" s="12" t="s">
        <v>354</v>
      </c>
    </row>
    <row r="18" customFormat="false" ht="35.05" hidden="false" customHeight="false" outlineLevel="0" collapsed="false">
      <c r="A18" s="12" t="s">
        <v>515</v>
      </c>
      <c r="B18" s="12" t="s">
        <v>360</v>
      </c>
      <c r="C18" s="12" t="s">
        <v>516</v>
      </c>
      <c r="D18" s="12" t="s">
        <v>517</v>
      </c>
      <c r="E18" s="12" t="s">
        <v>518</v>
      </c>
      <c r="F18" s="12" t="s">
        <v>160</v>
      </c>
      <c r="G18" s="12" t="s">
        <v>193</v>
      </c>
      <c r="H18" s="12" t="s">
        <v>56</v>
      </c>
      <c r="I18" s="12" t="s">
        <v>76</v>
      </c>
      <c r="J18" s="12" t="s">
        <v>82</v>
      </c>
      <c r="K18" s="12" t="s">
        <v>100</v>
      </c>
      <c r="L18" s="12" t="s">
        <v>519</v>
      </c>
      <c r="M18" s="12" t="s">
        <v>520</v>
      </c>
      <c r="N18" s="12" t="s">
        <v>361</v>
      </c>
      <c r="O18" s="12" t="s">
        <v>359</v>
      </c>
    </row>
    <row r="19" customFormat="false" ht="23.85" hidden="false" customHeight="false" outlineLevel="0" collapsed="false">
      <c r="A19" s="12" t="s">
        <v>521</v>
      </c>
      <c r="B19" s="12" t="s">
        <v>364</v>
      </c>
      <c r="C19" s="12" t="s">
        <v>516</v>
      </c>
      <c r="D19" s="12" t="s">
        <v>522</v>
      </c>
      <c r="E19" s="12" t="s">
        <v>523</v>
      </c>
      <c r="F19" s="12" t="s">
        <v>160</v>
      </c>
      <c r="G19" s="12" t="s">
        <v>193</v>
      </c>
      <c r="H19" s="12" t="s">
        <v>56</v>
      </c>
      <c r="I19" s="12" t="s">
        <v>76</v>
      </c>
      <c r="J19" s="12" t="s">
        <v>82</v>
      </c>
      <c r="K19" s="12" t="s">
        <v>100</v>
      </c>
      <c r="L19" s="12" t="s">
        <v>456</v>
      </c>
      <c r="M19" s="12" t="s">
        <v>524</v>
      </c>
      <c r="N19" s="12" t="s">
        <v>365</v>
      </c>
      <c r="O19" s="12" t="s">
        <v>363</v>
      </c>
    </row>
    <row r="20" customFormat="false" ht="35.05" hidden="false" customHeight="false" outlineLevel="0" collapsed="false">
      <c r="A20" s="13" t="s">
        <v>525</v>
      </c>
      <c r="B20" s="13" t="s">
        <v>368</v>
      </c>
      <c r="C20" s="13" t="s">
        <v>526</v>
      </c>
      <c r="D20" s="13" t="s">
        <v>527</v>
      </c>
      <c r="E20" s="13" t="s">
        <v>528</v>
      </c>
      <c r="F20" s="13" t="s">
        <v>166</v>
      </c>
      <c r="G20" s="13" t="s">
        <v>198</v>
      </c>
      <c r="H20" s="13" t="s">
        <v>56</v>
      </c>
      <c r="I20" s="13" t="s">
        <v>66</v>
      </c>
      <c r="J20" s="13" t="s">
        <v>89</v>
      </c>
      <c r="K20" s="13" t="s">
        <v>97</v>
      </c>
      <c r="L20" s="13" t="s">
        <v>529</v>
      </c>
      <c r="M20" s="13" t="s">
        <v>530</v>
      </c>
      <c r="N20" s="13" t="s">
        <v>369</v>
      </c>
      <c r="O20" s="13" t="s">
        <v>367</v>
      </c>
    </row>
    <row r="21" customFormat="false" ht="23.85" hidden="false" customHeight="false" outlineLevel="0" collapsed="false">
      <c r="A21" s="13" t="s">
        <v>531</v>
      </c>
      <c r="B21" s="13" t="s">
        <v>372</v>
      </c>
      <c r="C21" s="13" t="s">
        <v>526</v>
      </c>
      <c r="D21" s="13" t="s">
        <v>532</v>
      </c>
      <c r="E21" s="13" t="s">
        <v>533</v>
      </c>
      <c r="F21" s="13" t="s">
        <v>166</v>
      </c>
      <c r="G21" s="13" t="s">
        <v>198</v>
      </c>
      <c r="H21" s="13" t="s">
        <v>56</v>
      </c>
      <c r="I21" s="13" t="s">
        <v>66</v>
      </c>
      <c r="J21" s="13" t="s">
        <v>89</v>
      </c>
      <c r="K21" s="13" t="s">
        <v>97</v>
      </c>
      <c r="L21" s="13" t="s">
        <v>456</v>
      </c>
      <c r="M21" s="13" t="s">
        <v>514</v>
      </c>
      <c r="N21" s="13" t="s">
        <v>373</v>
      </c>
      <c r="O21" s="13" t="s">
        <v>371</v>
      </c>
    </row>
    <row r="22" customFormat="false" ht="35.05" hidden="false" customHeight="false" outlineLevel="0" collapsed="false">
      <c r="A22" s="12" t="s">
        <v>534</v>
      </c>
      <c r="B22" s="12" t="s">
        <v>377</v>
      </c>
      <c r="C22" s="12" t="s">
        <v>535</v>
      </c>
      <c r="D22" s="12" t="s">
        <v>536</v>
      </c>
      <c r="E22" s="12" t="s">
        <v>537</v>
      </c>
      <c r="F22" s="12" t="s">
        <v>160</v>
      </c>
      <c r="G22" s="12" t="s">
        <v>203</v>
      </c>
      <c r="H22" s="12" t="s">
        <v>60</v>
      </c>
      <c r="I22" s="12" t="s">
        <v>66</v>
      </c>
      <c r="J22" s="12" t="s">
        <v>82</v>
      </c>
      <c r="K22" s="12" t="s">
        <v>100</v>
      </c>
      <c r="L22" s="12" t="s">
        <v>538</v>
      </c>
      <c r="M22" s="12" t="s">
        <v>539</v>
      </c>
      <c r="N22" s="12" t="s">
        <v>378</v>
      </c>
      <c r="O22" s="12" t="s">
        <v>376</v>
      </c>
    </row>
    <row r="23" customFormat="false" ht="23.85" hidden="false" customHeight="false" outlineLevel="0" collapsed="false">
      <c r="A23" s="12" t="s">
        <v>540</v>
      </c>
      <c r="B23" s="12" t="s">
        <v>382</v>
      </c>
      <c r="C23" s="12" t="s">
        <v>535</v>
      </c>
      <c r="D23" s="12" t="s">
        <v>541</v>
      </c>
      <c r="E23" s="12" t="s">
        <v>542</v>
      </c>
      <c r="F23" s="12" t="s">
        <v>160</v>
      </c>
      <c r="G23" s="12" t="s">
        <v>203</v>
      </c>
      <c r="H23" s="12" t="s">
        <v>60</v>
      </c>
      <c r="I23" s="12" t="s">
        <v>66</v>
      </c>
      <c r="J23" s="12" t="s">
        <v>82</v>
      </c>
      <c r="K23" s="12" t="s">
        <v>100</v>
      </c>
      <c r="L23" s="12" t="s">
        <v>543</v>
      </c>
      <c r="M23" s="12" t="s">
        <v>544</v>
      </c>
      <c r="N23" s="12" t="s">
        <v>383</v>
      </c>
      <c r="O23" s="12" t="s">
        <v>381</v>
      </c>
    </row>
    <row r="24" customFormat="false" ht="23.85" hidden="false" customHeight="false" outlineLevel="0" collapsed="false">
      <c r="A24" s="11" t="s">
        <v>545</v>
      </c>
      <c r="B24" s="11" t="s">
        <v>386</v>
      </c>
      <c r="C24" s="11" t="s">
        <v>546</v>
      </c>
      <c r="D24" s="11" t="s">
        <v>547</v>
      </c>
      <c r="E24" s="11" t="s">
        <v>548</v>
      </c>
      <c r="F24" s="11" t="s">
        <v>149</v>
      </c>
      <c r="G24" s="11" t="s">
        <v>208</v>
      </c>
      <c r="H24" s="11" t="s">
        <v>60</v>
      </c>
      <c r="I24" s="11" t="s">
        <v>66</v>
      </c>
      <c r="J24" s="11" t="s">
        <v>82</v>
      </c>
      <c r="K24" s="11" t="s">
        <v>97</v>
      </c>
      <c r="L24" s="11" t="s">
        <v>549</v>
      </c>
      <c r="M24" s="11" t="s">
        <v>212</v>
      </c>
      <c r="N24" s="11" t="s">
        <v>387</v>
      </c>
      <c r="O24" s="11" t="s">
        <v>385</v>
      </c>
    </row>
    <row r="25" customFormat="false" ht="35.05" hidden="false" customHeight="false" outlineLevel="0" collapsed="false">
      <c r="A25" s="12" t="s">
        <v>550</v>
      </c>
      <c r="B25" s="12" t="s">
        <v>395</v>
      </c>
      <c r="C25" s="12" t="s">
        <v>551</v>
      </c>
      <c r="D25" s="12" t="s">
        <v>552</v>
      </c>
      <c r="E25" s="12" t="s">
        <v>553</v>
      </c>
      <c r="F25" s="12" t="s">
        <v>160</v>
      </c>
      <c r="G25" s="12" t="s">
        <v>213</v>
      </c>
      <c r="H25" s="12" t="s">
        <v>60</v>
      </c>
      <c r="I25" s="12" t="s">
        <v>73</v>
      </c>
      <c r="J25" s="12" t="s">
        <v>89</v>
      </c>
      <c r="K25" s="12" t="s">
        <v>97</v>
      </c>
      <c r="L25" s="12" t="s">
        <v>554</v>
      </c>
      <c r="M25" s="12" t="s">
        <v>555</v>
      </c>
      <c r="N25" s="12" t="s">
        <v>396</v>
      </c>
      <c r="O25" s="12" t="s">
        <v>394</v>
      </c>
    </row>
    <row r="26" customFormat="false" ht="23.85" hidden="false" customHeight="false" outlineLevel="0" collapsed="false">
      <c r="A26" s="12" t="s">
        <v>556</v>
      </c>
      <c r="B26" s="12" t="s">
        <v>400</v>
      </c>
      <c r="C26" s="12" t="s">
        <v>551</v>
      </c>
      <c r="D26" s="12" t="s">
        <v>557</v>
      </c>
      <c r="E26" s="12" t="s">
        <v>558</v>
      </c>
      <c r="F26" s="12" t="s">
        <v>160</v>
      </c>
      <c r="G26" s="12" t="s">
        <v>213</v>
      </c>
      <c r="H26" s="12" t="s">
        <v>60</v>
      </c>
      <c r="I26" s="12" t="s">
        <v>73</v>
      </c>
      <c r="J26" s="12" t="s">
        <v>89</v>
      </c>
      <c r="K26" s="12" t="s">
        <v>97</v>
      </c>
      <c r="L26" s="12" t="s">
        <v>456</v>
      </c>
      <c r="M26" s="12" t="s">
        <v>559</v>
      </c>
      <c r="N26" s="12" t="s">
        <v>401</v>
      </c>
      <c r="O26" s="12" t="s">
        <v>399</v>
      </c>
    </row>
    <row r="27" customFormat="false" ht="35.05" hidden="false" customHeight="false" outlineLevel="0" collapsed="false">
      <c r="A27" s="13" t="s">
        <v>560</v>
      </c>
      <c r="B27" s="13" t="s">
        <v>405</v>
      </c>
      <c r="C27" s="13" t="s">
        <v>561</v>
      </c>
      <c r="D27" s="13" t="s">
        <v>562</v>
      </c>
      <c r="E27" s="13" t="s">
        <v>563</v>
      </c>
      <c r="F27" s="13" t="s">
        <v>166</v>
      </c>
      <c r="G27" s="13" t="s">
        <v>218</v>
      </c>
      <c r="H27" s="13" t="s">
        <v>48</v>
      </c>
      <c r="I27" s="13" t="s">
        <v>66</v>
      </c>
      <c r="J27" s="13" t="s">
        <v>92</v>
      </c>
      <c r="K27" s="13" t="s">
        <v>100</v>
      </c>
      <c r="L27" s="13" t="s">
        <v>564</v>
      </c>
      <c r="M27" s="13" t="s">
        <v>222</v>
      </c>
      <c r="N27" s="13" t="s">
        <v>406</v>
      </c>
      <c r="O27" s="13" t="s">
        <v>404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3" min="3" style="0" width="34"/>
    <col collapsed="false" customWidth="true" hidden="false" outlineLevel="0" max="4" min="4" style="0" width="12"/>
    <col collapsed="false" customWidth="true" hidden="false" outlineLevel="0" max="5" min="5" style="0" width="16"/>
    <col collapsed="false" customWidth="true" hidden="false" outlineLevel="0" max="6" min="6" style="0" width="44"/>
  </cols>
  <sheetData>
    <row r="1" customFormat="false" ht="15" hidden="false" customHeight="false" outlineLevel="0" collapsed="false">
      <c r="A1" s="5" t="s">
        <v>225</v>
      </c>
      <c r="B1" s="5" t="s">
        <v>565</v>
      </c>
      <c r="C1" s="5" t="s">
        <v>566</v>
      </c>
      <c r="D1" s="5" t="s">
        <v>567</v>
      </c>
      <c r="E1" s="5" t="s">
        <v>568</v>
      </c>
      <c r="F1" s="5" t="s">
        <v>569</v>
      </c>
    </row>
    <row r="2" customFormat="false" ht="15" hidden="false" customHeight="false" outlineLevel="0" collapsed="false">
      <c r="A2" s="8" t="s">
        <v>230</v>
      </c>
      <c r="B2" s="8" t="s">
        <v>570</v>
      </c>
      <c r="C2" s="8" t="s">
        <v>571</v>
      </c>
      <c r="D2" s="8" t="n">
        <f aca="false">COUNTA(4_Dataset_v1!$A$2:$A$27)</f>
        <v>26</v>
      </c>
      <c r="E2" s="8" t="str">
        <f aca="false">IF(AND(D2&gt;=20,D2&lt;=30),"ĐẠT","CHƯA ĐẠT")</f>
        <v>ĐẠT</v>
      </c>
      <c r="F2" s="8" t="s">
        <v>572</v>
      </c>
    </row>
    <row r="3" customFormat="false" ht="15" hidden="false" customHeight="false" outlineLevel="0" collapsed="false">
      <c r="A3" s="8" t="s">
        <v>235</v>
      </c>
      <c r="B3" s="8" t="s">
        <v>573</v>
      </c>
      <c r="C3" s="8" t="s">
        <v>574</v>
      </c>
      <c r="D3" s="8" t="n">
        <f aca="false">COUNTIF(4_Dataset_v1!$H$2:$H$27,"absent")</f>
        <v>5</v>
      </c>
      <c r="E3" s="8" t="str">
        <f aca="false">IF(D3&gt;=2,"ĐẠT","CHƯA ĐẠT")</f>
        <v>ĐẠT</v>
      </c>
      <c r="F3" s="8" t="s">
        <v>575</v>
      </c>
    </row>
    <row r="4" customFormat="false" ht="15" hidden="false" customHeight="false" outlineLevel="0" collapsed="false">
      <c r="A4" s="8" t="s">
        <v>240</v>
      </c>
      <c r="B4" s="8" t="s">
        <v>576</v>
      </c>
      <c r="C4" s="8" t="s">
        <v>574</v>
      </c>
      <c r="D4" s="8" t="n">
        <f aca="false">COUNTIF(4_Dataset_v1!$I$2:$I$27,"missing_referent")+COUNTIF(4_Dataset_v1!$I$2:$I$27,"multi_intent")</f>
        <v>7</v>
      </c>
      <c r="E4" s="8" t="str">
        <f aca="false">IF(D4&gt;=2,"ĐẠT","CHƯA ĐẠT")</f>
        <v>ĐẠT</v>
      </c>
      <c r="F4" s="8" t="s">
        <v>575</v>
      </c>
    </row>
    <row r="5" customFormat="false" ht="15" hidden="false" customHeight="false" outlineLevel="0" collapsed="false">
      <c r="A5" s="8" t="s">
        <v>244</v>
      </c>
      <c r="B5" s="8" t="s">
        <v>577</v>
      </c>
      <c r="C5" s="8" t="s">
        <v>574</v>
      </c>
      <c r="D5" s="8" t="n">
        <f aca="false">COUNTIF(4_Dataset_v1!$F$2:$F$27,"critical_regression")</f>
        <v>12</v>
      </c>
      <c r="E5" s="8" t="str">
        <f aca="false">IF(D5&gt;=2,"ĐẠT","CHƯA ĐẠT")</f>
        <v>ĐẠT</v>
      </c>
      <c r="F5" s="8" t="s">
        <v>575</v>
      </c>
    </row>
    <row r="6" customFormat="false" ht="15" hidden="false" customHeight="false" outlineLevel="0" collapsed="false">
      <c r="A6" s="8" t="s">
        <v>247</v>
      </c>
      <c r="B6" s="8" t="s">
        <v>578</v>
      </c>
      <c r="C6" s="8" t="n">
        <f aca="false">15</f>
        <v>15</v>
      </c>
      <c r="D6" s="8" t="n">
        <f aca="true">SUMPRODUCT((COUNTIF(4_Dataset_v1!$G$2:$G$27,"CB-"&amp;TEXT(ROW(INDIRECT("1:15")),"00"))&gt;0)*1)</f>
        <v>15</v>
      </c>
      <c r="E6" s="8" t="str">
        <f aca="false">IF(D6=15,"ĐẠT","CHƯA ĐẠT")</f>
        <v>ĐẠT</v>
      </c>
      <c r="F6" s="8" t="s">
        <v>579</v>
      </c>
    </row>
    <row r="7" customFormat="false" ht="15" hidden="false" customHeight="false" outlineLevel="0" collapsed="false">
      <c r="A7" s="8" t="s">
        <v>252</v>
      </c>
      <c r="B7" s="8" t="s">
        <v>580</v>
      </c>
      <c r="C7" s="8" t="s">
        <v>581</v>
      </c>
      <c r="D7" s="14" t="n">
        <f aca="false">COUNTIF(4_Dataset_v1!$F$2:$F$27,"representative")/D2</f>
        <v>0.230769230769231</v>
      </c>
      <c r="E7" s="8" t="str">
        <f aca="false">IF(D7&lt;=0.4,"ĐẠT","CHƯA ĐẠT")</f>
        <v>ĐẠT</v>
      </c>
      <c r="F7" s="8" t="s">
        <v>582</v>
      </c>
    </row>
    <row r="9" customFormat="false" ht="15" hidden="false" customHeight="false" outlineLevel="0" collapsed="false">
      <c r="A9" s="15" t="s">
        <v>583</v>
      </c>
      <c r="B9" s="9"/>
      <c r="C9" s="9"/>
      <c r="D9" s="9"/>
      <c r="E9" s="9"/>
      <c r="F9" s="9"/>
    </row>
    <row r="10" customFormat="false" ht="15" hidden="false" customHeight="false" outlineLevel="0" collapsed="false">
      <c r="A10" s="5" t="s">
        <v>225</v>
      </c>
      <c r="B10" s="5" t="s">
        <v>40</v>
      </c>
      <c r="C10" s="5" t="s">
        <v>42</v>
      </c>
      <c r="D10" s="5" t="s">
        <v>584</v>
      </c>
      <c r="E10" s="5" t="s">
        <v>585</v>
      </c>
      <c r="F10" s="5" t="s">
        <v>109</v>
      </c>
    </row>
    <row r="11" customFormat="false" ht="15" hidden="false" customHeight="false" outlineLevel="0" collapsed="false">
      <c r="A11" s="8" t="n">
        <v>1</v>
      </c>
      <c r="B11" s="8" t="s">
        <v>586</v>
      </c>
      <c r="C11" s="8" t="s">
        <v>48</v>
      </c>
      <c r="D11" s="8" t="n">
        <f aca="false">COUNTIF(4_Dataset_v1!$H$2:$H$27,"available")</f>
        <v>8</v>
      </c>
      <c r="E11" s="14" t="n">
        <f aca="false">D11/$D$2</f>
        <v>0.307692307692308</v>
      </c>
      <c r="F11" s="8"/>
    </row>
    <row r="12" customFormat="false" ht="15" hidden="false" customHeight="false" outlineLevel="0" collapsed="false">
      <c r="A12" s="8" t="n">
        <v>2</v>
      </c>
      <c r="B12" s="8" t="s">
        <v>586</v>
      </c>
      <c r="C12" s="8" t="s">
        <v>52</v>
      </c>
      <c r="D12" s="8" t="n">
        <f aca="false">COUNTIF(4_Dataset_v1!$H$2:$H$27,"scattered")</f>
        <v>7</v>
      </c>
      <c r="E12" s="14" t="n">
        <f aca="false">D12/$D$2</f>
        <v>0.269230769230769</v>
      </c>
      <c r="F12" s="8"/>
    </row>
    <row r="13" customFormat="false" ht="15" hidden="false" customHeight="false" outlineLevel="0" collapsed="false">
      <c r="A13" s="8" t="n">
        <v>3</v>
      </c>
      <c r="B13" s="8" t="s">
        <v>586</v>
      </c>
      <c r="C13" s="8" t="s">
        <v>56</v>
      </c>
      <c r="D13" s="8" t="n">
        <f aca="false">COUNTIF(4_Dataset_v1!$H$2:$H$27,"partial")</f>
        <v>6</v>
      </c>
      <c r="E13" s="14" t="n">
        <f aca="false">D13/$D$2</f>
        <v>0.230769230769231</v>
      </c>
      <c r="F13" s="8"/>
    </row>
    <row r="14" customFormat="false" ht="15" hidden="false" customHeight="false" outlineLevel="0" collapsed="false">
      <c r="A14" s="8" t="n">
        <v>4</v>
      </c>
      <c r="B14" s="8" t="s">
        <v>586</v>
      </c>
      <c r="C14" s="8" t="s">
        <v>60</v>
      </c>
      <c r="D14" s="8" t="n">
        <f aca="false">COUNTIF(4_Dataset_v1!$H$2:$H$27,"absent")</f>
        <v>5</v>
      </c>
      <c r="E14" s="14" t="n">
        <f aca="false">D14/$D$2</f>
        <v>0.192307692307692</v>
      </c>
      <c r="F14" s="8"/>
    </row>
    <row r="15" customFormat="false" ht="23.85" hidden="false" customHeight="false" outlineLevel="0" collapsed="false">
      <c r="A15" s="8" t="n">
        <v>5</v>
      </c>
      <c r="B15" s="8" t="s">
        <v>587</v>
      </c>
      <c r="C15" s="8" t="s">
        <v>66</v>
      </c>
      <c r="D15" s="8" t="n">
        <f aca="false">COUNTIF(4_Dataset_v1!$I$2:$I$27,"clear")</f>
        <v>15</v>
      </c>
      <c r="E15" s="14" t="n">
        <f aca="false">D15/$D$2</f>
        <v>0.576923076923077</v>
      </c>
      <c r="F15" s="8" t="s">
        <v>588</v>
      </c>
    </row>
    <row r="16" customFormat="false" ht="15" hidden="false" customHeight="false" outlineLevel="0" collapsed="false">
      <c r="A16" s="8" t="n">
        <v>6</v>
      </c>
      <c r="B16" s="8" t="s">
        <v>587</v>
      </c>
      <c r="C16" s="8" t="s">
        <v>70</v>
      </c>
      <c r="D16" s="8" t="n">
        <f aca="false">COUNTIF(4_Dataset_v1!$I$2:$I$27,"missing_referent")</f>
        <v>4</v>
      </c>
      <c r="E16" s="14" t="n">
        <f aca="false">D16/$D$2</f>
        <v>0.153846153846154</v>
      </c>
      <c r="F16" s="8"/>
    </row>
    <row r="17" customFormat="false" ht="15" hidden="false" customHeight="false" outlineLevel="0" collapsed="false">
      <c r="A17" s="8" t="n">
        <v>7</v>
      </c>
      <c r="B17" s="8" t="s">
        <v>587</v>
      </c>
      <c r="C17" s="8" t="s">
        <v>73</v>
      </c>
      <c r="D17" s="8" t="n">
        <f aca="false">COUNTIF(4_Dataset_v1!$I$2:$I$27,"multi_intent")</f>
        <v>3</v>
      </c>
      <c r="E17" s="14" t="n">
        <f aca="false">D17/$D$2</f>
        <v>0.115384615384615</v>
      </c>
      <c r="F17" s="8"/>
    </row>
    <row r="18" customFormat="false" ht="15" hidden="false" customHeight="false" outlineLevel="0" collapsed="false">
      <c r="A18" s="8" t="n">
        <v>8</v>
      </c>
      <c r="B18" s="8" t="s">
        <v>587</v>
      </c>
      <c r="C18" s="8" t="s">
        <v>76</v>
      </c>
      <c r="D18" s="8" t="n">
        <f aca="false">COUNTIF(4_Dataset_v1!$I$2:$I$27,"false_premise")</f>
        <v>4</v>
      </c>
      <c r="E18" s="14" t="n">
        <f aca="false">D18/$D$2</f>
        <v>0.153846153846154</v>
      </c>
      <c r="F18" s="8"/>
    </row>
    <row r="19" customFormat="false" ht="23.85" hidden="false" customHeight="false" outlineLevel="0" collapsed="false">
      <c r="A19" s="8" t="n">
        <v>9</v>
      </c>
      <c r="B19" s="8" t="s">
        <v>589</v>
      </c>
      <c r="C19" s="8" t="s">
        <v>82</v>
      </c>
      <c r="D19" s="8" t="n">
        <f aca="false">COUNTIF(4_Dataset_v1!$J$2:$J$27,"explain_concept")</f>
        <v>15</v>
      </c>
      <c r="E19" s="14" t="n">
        <f aca="false">D19/$D$2</f>
        <v>0.576923076923077</v>
      </c>
      <c r="F19" s="8" t="s">
        <v>590</v>
      </c>
    </row>
    <row r="20" customFormat="false" ht="15" hidden="false" customHeight="false" outlineLevel="0" collapsed="false">
      <c r="A20" s="8" t="n">
        <v>10</v>
      </c>
      <c r="B20" s="8" t="s">
        <v>589</v>
      </c>
      <c r="C20" s="8" t="s">
        <v>85</v>
      </c>
      <c r="D20" s="8" t="n">
        <f aca="false">COUNTIF(4_Dataset_v1!$J$2:$J$27,"distinguish_pair")</f>
        <v>6</v>
      </c>
      <c r="E20" s="14" t="n">
        <f aca="false">D20/$D$2</f>
        <v>0.230769230769231</v>
      </c>
      <c r="F20" s="8"/>
    </row>
    <row r="21" customFormat="false" ht="15" hidden="false" customHeight="false" outlineLevel="0" collapsed="false">
      <c r="A21" s="8" t="n">
        <v>11</v>
      </c>
      <c r="B21" s="8" t="s">
        <v>589</v>
      </c>
      <c r="C21" s="8" t="s">
        <v>89</v>
      </c>
      <c r="D21" s="8" t="n">
        <f aca="false">COUNTIF(4_Dataset_v1!$J$2:$J$27,"apply_to_own_case")</f>
        <v>4</v>
      </c>
      <c r="E21" s="14" t="n">
        <f aca="false">D21/$D$2</f>
        <v>0.153846153846154</v>
      </c>
      <c r="F21" s="8"/>
    </row>
    <row r="22" customFormat="false" ht="23.85" hidden="false" customHeight="false" outlineLevel="0" collapsed="false">
      <c r="A22" s="8" t="n">
        <v>12</v>
      </c>
      <c r="B22" s="8" t="s">
        <v>589</v>
      </c>
      <c r="C22" s="8" t="s">
        <v>92</v>
      </c>
      <c r="D22" s="8" t="n">
        <f aca="false">COUNTIF(4_Dataset_v1!$J$2:$J$27,"ask_for_answer")</f>
        <v>1</v>
      </c>
      <c r="E22" s="14" t="n">
        <f aca="false">D22/$D$2</f>
        <v>0.0384615384615385</v>
      </c>
      <c r="F22" s="8" t="s">
        <v>591</v>
      </c>
    </row>
    <row r="23" customFormat="false" ht="15" hidden="false" customHeight="false" outlineLevel="0" collapsed="false">
      <c r="A23" s="8" t="n">
        <v>13</v>
      </c>
      <c r="B23" s="8" t="s">
        <v>592</v>
      </c>
      <c r="C23" s="8" t="s">
        <v>97</v>
      </c>
      <c r="D23" s="8" t="n">
        <f aca="false">COUNTIF(4_Dataset_v1!$K$2:$K$27,"vi_pure")</f>
        <v>12</v>
      </c>
      <c r="E23" s="14" t="n">
        <f aca="false">D23/$D$2</f>
        <v>0.461538461538462</v>
      </c>
      <c r="F23" s="8"/>
    </row>
    <row r="24" customFormat="false" ht="15" hidden="false" customHeight="false" outlineLevel="0" collapsed="false">
      <c r="A24" s="8" t="n">
        <v>14</v>
      </c>
      <c r="B24" s="8" t="s">
        <v>592</v>
      </c>
      <c r="C24" s="8" t="s">
        <v>100</v>
      </c>
      <c r="D24" s="8" t="n">
        <f aca="false">COUNTIF(4_Dataset_v1!$K$2:$K$27,"vi_en_mix")</f>
        <v>14</v>
      </c>
      <c r="E24" s="14" t="n">
        <f aca="false">D24/$D$2</f>
        <v>0.538461538461538</v>
      </c>
      <c r="F24" s="8"/>
    </row>
    <row r="26" customFormat="false" ht="46.25" hidden="false" customHeight="false" outlineLevel="0" collapsed="false">
      <c r="A26" s="7"/>
      <c r="B26" s="7" t="s">
        <v>593</v>
      </c>
      <c r="C26" s="7" t="s">
        <v>594</v>
      </c>
      <c r="D26" s="7"/>
      <c r="E26" s="7"/>
      <c r="F26"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74"/>
    <col collapsed="false" customWidth="true" hidden="false" outlineLevel="0" max="4" min="4" style="0" width="66"/>
    <col collapsed="false" customWidth="true" hidden="false" outlineLevel="0" max="5" min="5" style="0" width="70"/>
  </cols>
  <sheetData>
    <row r="1" customFormat="false" ht="15" hidden="false" customHeight="false" outlineLevel="0" collapsed="false">
      <c r="A1" s="5" t="s">
        <v>225</v>
      </c>
      <c r="B1" s="5" t="s">
        <v>595</v>
      </c>
      <c r="C1" s="5" t="s">
        <v>596</v>
      </c>
      <c r="D1" s="5" t="s">
        <v>597</v>
      </c>
      <c r="E1" s="5" t="s">
        <v>598</v>
      </c>
    </row>
    <row r="2" customFormat="false" ht="35.05" hidden="false" customHeight="false" outlineLevel="0" collapsed="false">
      <c r="A2" s="8" t="s">
        <v>230</v>
      </c>
      <c r="B2" s="8" t="s">
        <v>599</v>
      </c>
      <c r="C2" s="8" t="s">
        <v>600</v>
      </c>
      <c r="D2" s="8" t="s">
        <v>601</v>
      </c>
      <c r="E2" s="8" t="s">
        <v>602</v>
      </c>
    </row>
    <row r="3" customFormat="false" ht="23.85" hidden="false" customHeight="false" outlineLevel="0" collapsed="false">
      <c r="A3" s="8" t="s">
        <v>235</v>
      </c>
      <c r="B3" s="8" t="s">
        <v>603</v>
      </c>
      <c r="C3" s="8" t="s">
        <v>604</v>
      </c>
      <c r="D3" s="8" t="s">
        <v>605</v>
      </c>
      <c r="E3" s="8" t="s">
        <v>606</v>
      </c>
    </row>
    <row r="4" customFormat="false" ht="15" hidden="false" customHeight="false" outlineLevel="0" collapsed="false">
      <c r="A4" s="8" t="s">
        <v>240</v>
      </c>
      <c r="B4" s="8" t="s">
        <v>607</v>
      </c>
      <c r="C4" s="8" t="s">
        <v>608</v>
      </c>
      <c r="D4" s="8" t="s">
        <v>609</v>
      </c>
      <c r="E4" s="8" t="s">
        <v>610</v>
      </c>
    </row>
    <row r="5" customFormat="false" ht="23.85" hidden="false" customHeight="false" outlineLevel="0" collapsed="false">
      <c r="A5" s="8" t="s">
        <v>244</v>
      </c>
      <c r="B5" s="8" t="s">
        <v>611</v>
      </c>
      <c r="C5" s="8" t="s">
        <v>612</v>
      </c>
      <c r="D5" s="8" t="s">
        <v>613</v>
      </c>
      <c r="E5" s="8" t="s">
        <v>614</v>
      </c>
    </row>
    <row r="6" customFormat="false" ht="23.85" hidden="false" customHeight="false" outlineLevel="0" collapsed="false">
      <c r="A6" s="8" t="s">
        <v>247</v>
      </c>
      <c r="B6" s="8" t="s">
        <v>615</v>
      </c>
      <c r="C6" s="8" t="s">
        <v>616</v>
      </c>
      <c r="D6" s="8" t="s">
        <v>617</v>
      </c>
      <c r="E6" s="8" t="s">
        <v>618</v>
      </c>
    </row>
    <row r="7" customFormat="false" ht="15" hidden="false" customHeight="false" outlineLevel="0" collapsed="false">
      <c r="A7" s="8" t="s">
        <v>252</v>
      </c>
      <c r="B7" s="8" t="s">
        <v>619</v>
      </c>
      <c r="C7" s="8" t="s">
        <v>620</v>
      </c>
      <c r="D7" s="8" t="s">
        <v>621</v>
      </c>
      <c r="E7" s="8" t="s">
        <v>622</v>
      </c>
    </row>
    <row r="8" customFormat="false" ht="23.85" hidden="false" customHeight="false" outlineLevel="0" collapsed="false">
      <c r="A8" s="8" t="s">
        <v>68</v>
      </c>
      <c r="B8" s="8" t="s">
        <v>623</v>
      </c>
      <c r="C8" s="8" t="s">
        <v>624</v>
      </c>
      <c r="D8" s="8"/>
      <c r="E8" s="8" t="s">
        <v>625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2026-08-21T02:06:36Z</dcterms:created>
  <dc:creator>openpyxl</dc:creator>
  <dc:description/>
  <dc:language>en-US</dc:language>
  <cp:lastModifiedBy/>
  <dcterms:modified xsi:type="dcterms:W3CDTF">2026-08-21T02:10:37Z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