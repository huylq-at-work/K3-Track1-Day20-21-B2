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ADME" sheetId="1" state="visible" r:id="rId3"/>
    <sheet name="1_Input_Grid" sheetId="2" state="visible" r:id="rId4"/>
    <sheet name="2_Combinations" sheetId="3" state="visible" r:id="rId5"/>
    <sheet name="2b_Pheu_va_loai" sheetId="4" state="visible" r:id="rId6"/>
    <sheet name="3_Paraphrase_Pool" sheetId="5" state="visible" r:id="rId7"/>
    <sheet name="4_Dataset_v1_1" sheetId="6" state="visible" r:id="rId8"/>
    <sheet name="5_Coverage_Check" sheetId="7" state="visible" r:id="rId9"/>
    <sheet name="6_AI_Support_Log" sheetId="8" state="visible" r:id="rId10"/>
    <sheet name="7_Nhat_ky_sua"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<sst xmlns="http://schemas.openxmlformats.org/spreadsheetml/2006/main" count="1163" uniqueCount="705">
  <si>
    <t xml:space="preserve">PHASE 1 — THIẾT KẾ COVERAGE</t>
  </si>
  <si>
    <t xml:space="preserve">Sản phẩm</t>
  </si>
  <si>
    <t xml:space="preserve">VLearn AI Tutor — trợ giảng hỏi đáp về AI evaluations, chỉ trả lời từ corpus khoá học</t>
  </si>
  <si>
    <t xml:space="preserve">Output schema tutor</t>
  </si>
  <si>
    <t xml:space="preserve">{answer, sources:[{doc, section, quote nguyên văn}], followup_questions[3]}</t>
  </si>
  <si>
    <t xml:space="preserve">Phiên bản hiện tại</t>
  </si>
  <si>
    <t xml:space="preserve">Dataset v1.1 — 18 combination · 25 rows · 4 dimension. Xem sheet 7_Nhat_ky_sua.</t>
  </si>
  <si>
    <t xml:space="preserve">Định nghĩa corpus</t>
  </si>
  <si>
    <t xml:space="preserve">Corpus = D1 + D2 + D3 + D4 + SLIDE khoá học Day 20–21. Slide được tính là corpus; mọi kết luận 'không có trong corpus' phải kiểm cả 5 nguồn, không chỉ D1–D4.</t>
  </si>
  <si>
    <t xml:space="preserve">CÁC SHEET</t>
  </si>
  <si>
    <t xml:space="preserve">1_Input_Grid</t>
  </si>
  <si>
    <t xml:space="preserve">Bước 1–2 · 4 dimension + values, phép thử slide 26 cho từng cái, và các ứng viên bị loại / hoãn v2</t>
  </si>
  <si>
    <t xml:space="preserve">2_Combinations</t>
  </si>
  <si>
    <t xml:space="preserve">Bước 3 · 18 combination được chọn</t>
  </si>
  <si>
    <t xml:space="preserve">2b_Pheu_va_loai</t>
  </si>
  <si>
    <t xml:space="preserve">Bước 3 · phễu tổ hợp được TÍNH bằng code + luật loại + phần không chọn vì ngân sách</t>
  </si>
  <si>
    <t xml:space="preserve">3_Paraphrase_Pool</t>
  </si>
  <si>
    <t xml:space="preserve">Bước 5 · 31 câu LLM sinh + quyết định Keep / Rewrite / Reject của con người</t>
  </si>
  <si>
    <t xml:space="preserve">4_Dataset_v1_1</t>
  </si>
  <si>
    <t xml:space="preserve">25 rows cuối cùng — bản đem lên platform ở Phase 2</t>
  </si>
  <si>
    <t xml:space="preserve">5_Coverage_Check</t>
  </si>
  <si>
    <t xml:space="preserve">GATE 1 · công thức tự đếm</t>
  </si>
  <si>
    <t xml:space="preserve">6_AI_Support_Log</t>
  </si>
  <si>
    <t xml:space="preserve">Khai báo mọi chỗ dùng AI</t>
  </si>
  <si>
    <t xml:space="preserve">7_Nhat_ky_sua</t>
  </si>
  <si>
    <t xml:space="preserve">Luật lab #7 · mọi thay đổi dataset kèm phiên bản và lý do</t>
  </si>
  <si>
    <t xml:space="preserve">TRẠNG THÁI XÁC MINH CÁC KHẲNG ĐỊNH 'KHÔNG CÓ TRONG CORPUS'</t>
  </si>
  <si>
    <t xml:space="preserve">✅ Đã kiểm, xác nhận KHÔNG có</t>
  </si>
  <si>
    <t xml:space="preserve">Trong D1 và D2: Cohen's kappa · ROC-AUC · NLI-based faithfulness · RAGAS · G-Eval. (Kiểm trực tiếp trên hamel.dev, 21/08/2026)</t>
  </si>
  <si>
    <t xml:space="preserve">✅ Đã kiểm, xác nhận CÓ</t>
  </si>
  <si>
    <t xml:space="preserve">Trong D2: "It took us only three iterations to achieve &gt; 90% agreement between the LLM and Phillip." — con số &gt;90% CÓ trong corpus. Trong D2 §FAQ: cảnh báo raw agreement dễ đánh lừa khi lớp mất cân bằng → đo precision/recall riêng. Trong D1: định nghĩa trace nguyên văn · §Fine-Tuning · §Evaluating RAG chỉ trỏ link ngoài · các công cụ LangSmith, LangChain, Metabase, Lilac, Gradio, Streamlit, Panel, Shiny.</t>
  </si>
  <si>
    <t xml:space="preserve">Từ 'transcript' không xuất hiện trong D1 — đây là lý do SC-01 bị sửa ở v1.1.</t>
  </si>
  <si>
    <t xml:space="preserve">⚠️ CHƯA kiểm được</t>
  </si>
  <si>
    <t xml:space="preserve">D3/D4 (AI Engineering Ch.3, Ch.4) là sách trả phí, chưa search được toàn văn. Các khẳng định 'không có trong D3/D4' về: kappa · ROC-AUC · NLI · axial coding · recall@k · MRR · drift detection. PHẢI kiểm trước khi chấm Phase 2 — nếu sai, gold label của SC-14 và SC-17/18 sẽ đảo giống lỗi &gt;90%.</t>
  </si>
  <si>
    <t xml:space="preserve">Slide khoá học (66 trang) chưa được search từ khoá cho các khẳng định absent. Slide LÀ corpus theo định nghĩa ở trên.</t>
  </si>
  <si>
    <t xml:space="preserve">QUY ƯỚC MÀU</t>
  </si>
  <si>
    <t xml:space="preserve">Xanh lá / Vàng / Đỏ nhạt</t>
  </si>
  <si>
    <t xml:space="preserve">representative · challenge · critical_regression</t>
  </si>
  <si>
    <t xml:space="preserve">Cam nhạt</t>
  </si>
  <si>
    <t xml:space="preserve">Ô bị sửa ở v1.1 so với v1.0</t>
  </si>
  <si>
    <t xml:space="preserve">Dimension</t>
  </si>
  <si>
    <t xml:space="preserve">Mã</t>
  </si>
  <si>
    <t xml:space="preserve">Value</t>
  </si>
  <si>
    <t xml:space="preserve">Hành vi ĐÚNG của tutor khi value này xuất hiện</t>
  </si>
  <si>
    <t xml:space="preserve">Neo vào đâu trong corpus</t>
  </si>
  <si>
    <t xml:space="preserve">Vì sao value này có thật</t>
  </si>
  <si>
    <t xml:space="preserve">D-A · Độ phủ corpus</t>
  </si>
  <si>
    <t xml:space="preserve">corpus</t>
  </si>
  <si>
    <t xml:space="preserve">available</t>
  </si>
  <si>
    <t xml:space="preserve">Trả lời trực tiếp, cite ĐÚNG 1 nguồn, quote nguyên văn</t>
  </si>
  <si>
    <t xml:space="preserve">D1 §Logging Traces · D2 §Step 3 · D3 §Limitations · D4 §Generation Capability</t>
  </si>
  <si>
    <t xml:space="preserve">30+ khái niệm nằm gọn trong một section, có câu định nghĩa quote được</t>
  </si>
  <si>
    <t xml:space="preserve">scattered</t>
  </si>
  <si>
    <t xml:space="preserve">TỔNG HỢP ≥2 doc, cite từng nguồn, nói rõ đây là tổng hợp</t>
  </si>
  <si>
    <t xml:space="preserve">LLM-as-judge = D1+D2+D3 · meta-eval judge = D1+D2+D4 · human eval = D1+D2+D3</t>
  </si>
  <si>
    <t xml:space="preserve">5 khái niệm lõi bị chia đôi giữa blog và sách — mỗi nơi một góc</t>
  </si>
  <si>
    <t xml:space="preserve">partial</t>
  </si>
  <si>
    <t xml:space="preserve">Trả lời phần CÓ + TUYÊN BỐ RÕ phần corpus không có</t>
  </si>
  <si>
    <t xml:space="preserve">Đánh giá RAG · online eval · thống kê cho eval · eval agent · cost/latency</t>
  </si>
  <si>
    <t xml:space="preserve">Corpus chạm chủ đề nhưng dừng ở mức khái niệm, không có công thức/chỉ số</t>
  </si>
  <si>
    <t xml:space="preserve">absent</t>
  </si>
  <si>
    <t xml:space="preserve">TỪ CHỐI, sources rỗng hoặc giải thích, KHÔNG bịa quote</t>
  </si>
  <si>
    <t xml:space="preserve">Giá API · leaderboard · Transformer · LoRA · EU AI Act · ROC-AUC &amp; NLI (Eugene Yan) · axial coding (Field Guide)</t>
  </si>
  <si>
    <t xml:space="preserve">Học viên đọc thêm blog khác rồi hỏi bằng thuật ngữ nghe rất 'trong bài'</t>
  </si>
  <si>
    <t xml:space="preserve">D-B · Chất lượng đề bài</t>
  </si>
  <si>
    <t xml:space="preserve">input</t>
  </si>
  <si>
    <t xml:space="preserve">clear</t>
  </si>
  <si>
    <t xml:space="preserve">Trả lời ngay, không hỏi lại thừa</t>
  </si>
  <si>
    <t xml:space="preserve">—</t>
  </si>
  <si>
    <t xml:space="preserve">Câu hỏi đủ thông tin — baseline</t>
  </si>
  <si>
    <t xml:space="preserve">missing_referent</t>
  </si>
  <si>
    <t xml:space="preserve">HỎI LẠI để xác định, hoặc nêu rõ giả định đang dùng</t>
  </si>
  <si>
    <t xml:space="preserve">Học viên trỏ ngược về buổi trước: 'cái ma trận hôm trước', 'cái bài đó'</t>
  </si>
  <si>
    <t xml:space="preserve">multi_intent</t>
  </si>
  <si>
    <t xml:space="preserve">Trả lời CẢ HAI ý, không bỏ sót ý thứ hai</t>
  </si>
  <si>
    <t xml:space="preserve">Slide 22: '20% ticket có 2 issue' — nhắn 2 ý một lần là hành vi rất phổ biến</t>
  </si>
  <si>
    <t xml:space="preserve">false_premise</t>
  </si>
  <si>
    <t xml:space="preserve">SỬA GIẢ ĐỊNH TRƯỚC rồi mới trả lời phần còn lại</t>
  </si>
  <si>
    <t xml:space="preserve">25 câu bẫy ở tài liệu nền §2.6</t>
  </si>
  <si>
    <t xml:space="preserve">Gán sai nguồn, sai công cụ, biến kết quả thành ngưỡng</t>
  </si>
  <si>
    <t xml:space="preserve">D-C · Loại nhiệm vụ</t>
  </si>
  <si>
    <t xml:space="preserve">task</t>
  </si>
  <si>
    <t xml:space="preserve">explain_concept</t>
  </si>
  <si>
    <t xml:space="preserve">Định nghĩa + quote nguyên văn</t>
  </si>
  <si>
    <t xml:space="preserve">Intent phổ biến nhất của một tutor</t>
  </si>
  <si>
    <t xml:space="preserve">distinguish_pair</t>
  </si>
  <si>
    <t xml:space="preserve">Nêu CẢ HAI CHIỀU khác biệt, không trộn hai khái niệm</t>
  </si>
  <si>
    <t xml:space="preserve">22 cặp dễ nhầm ở tài liệu nền §2.5</t>
  </si>
  <si>
    <t xml:space="preserve">Corpus có nhiều cặp gần nhau (offline/online, judge/guardrail, local/global)</t>
  </si>
  <si>
    <t xml:space="preserve">apply_to_own_case</t>
  </si>
  <si>
    <t xml:space="preserve">Suy luận có điều kiện, NÊU RÕ đâu là suy luận vs đâu là corpus nói</t>
  </si>
  <si>
    <t xml:space="preserve">Học viên mang bài của mình đến hỏi. ⚠ Bối cảnh được CHUẨN HOÁ: mọi row dùng chung một bối cảnh 'tutor bên em' để so sánh được giữa các vòng chạy</t>
  </si>
  <si>
    <t xml:space="preserve">ask_for_answer</t>
  </si>
  <si>
    <t xml:space="preserve">KHÔNG làm hộ; hướng dẫn cách nghĩ</t>
  </si>
  <si>
    <t xml:space="preserve">Bài lab có sản phẩm nộp được → học viên có động cơ nhờ làm hộ. Sản phẩm được nhờ KHÔNG bắt buộc nằm trong corpus (xem CB-17)</t>
  </si>
  <si>
    <t xml:space="preserve">D-D · Ngôn ngữ &amp; thuật ngữ</t>
  </si>
  <si>
    <t xml:space="preserve">lang</t>
  </si>
  <si>
    <t xml:space="preserve">vi_pure</t>
  </si>
  <si>
    <t xml:space="preserve">(a) Answer tiếng Việt; (b) KHÔNG chèn thuật ngữ chuyên môn tiếng Anh chưa giải thích; (c) vẫn phải retrieve đúng dù câu hỏi không chứa từ khoá tiếng Anh nào</t>
  </si>
  <si>
    <t xml:space="preserve">Corpus 100% tiếng Anh, câu hỏi 100% tiếng Việt → áp lực retrieval thật</t>
  </si>
  <si>
    <t xml:space="preserve">vi_en_mix</t>
  </si>
  <si>
    <t xml:space="preserve">(a) Answer tiếng Việt; (b) `quote` BẮT BUỘC giữ nguyên văn tiếng Anh, không dịch</t>
  </si>
  <si>
    <t xml:space="preserve">E7 #37</t>
  </si>
  <si>
    <t xml:space="preserve">Cách nói thật của học viên VN: 'cái grounding á', 'em build judge'</t>
  </si>
  <si>
    <t xml:space="preserve">ĐỊNH NGHĨA CHẶT CỦA D-D (sửa ở v1.1 — v1.0 không phân loại nhất quán được chính nhãn của mình)</t>
  </si>
  <si>
    <t xml:space="preserve">Quy tắc phân loại</t>
  </si>
  <si>
    <t xml:space="preserve">`vi_pure` = câu hỏi KHÔNG chứa thuật ngữ chuyên môn tiếng Anh của khoá (judge, grounding, retrieval, trace, eval, calibration, agreement, prompt). Từ mượn phổ thông đã Việt hoá (AI, code, app, team, model) KHÔNG tính.</t>
  </si>
  <si>
    <t xml:space="preserve">Vì sao cần quy tắc này</t>
  </si>
  <si>
    <t xml:space="preserve">v1.0 dán nhãn sai 4/26 row trên một trục chỉ có 2 value (SC-16 gắn vi_en_mix mà không có từ tiếng Anh nào; SC-11/SC-14/SC-02 gắn vi_pure mà chứa 'user'/'judge'/'code'). Trục nào chính người thiết kế không phân loại nhất quán được thì Phase 2 không chấm nhất quán được.</t>
  </si>
  <si>
    <t xml:space="preserve">Cảnh báo còn tồn tại</t>
  </si>
  <si>
    <t xml:space="preserve">D-D vẫn là trục YẾU NHẤT trong 4 trục: nó chỉ thêm 2 tiêu chí chấm (b) và (c) ở trên, chứ không đổi toàn bộ hành vi như D-A. Nếu Phase 3 không viết hai tiêu chí đó vào rubric thì phải hạ D-D xuống thành constraint ở Bước 4, giống 'độ dài câu' và 'tone'. Quyết định này phải chốt TRƯỚC khi chạy dataset.</t>
  </si>
  <si>
    <t xml:space="preserve">ỨNG VIÊN BỊ LOẠI KHỎI GRID / HOÃN v2</t>
  </si>
  <si>
    <t xml:space="preserve">Ứng viên</t>
  </si>
  <si>
    <t xml:space="preserve">Values đã cân nhắc</t>
  </si>
  <si>
    <t xml:space="preserve">Phép thử slide 26: đổi value → hành vi đúng có đổi không?</t>
  </si>
  <si>
    <t xml:space="preserve">Kết luận</t>
  </si>
  <si>
    <t xml:space="preserve">Ghi chú</t>
  </si>
  <si>
    <t xml:space="preserve">Cách diễn đạt / tone</t>
  </si>
  <si>
    <t xml:space="preserve">lịch sự · cộc lốc · dạng câu hỏi</t>
  </si>
  <si>
    <t xml:space="preserve">KHÔNG — 3 giá trị vẫn ra cùng một hành vi</t>
  </si>
  <si>
    <t xml:space="preserve">LOẠI</t>
  </si>
  <si>
    <t xml:space="preserve">Slide 26 dùng đúng cái này làm ví dụ 'không phải dimension'</t>
  </si>
  <si>
    <t xml:space="preserve">Độ dài câu hỏi</t>
  </si>
  <si>
    <t xml:space="preserve">ngắn cụt · dài vòng vo</t>
  </si>
  <si>
    <t xml:space="preserve">KHÔNG — chỉ là paraphrase</t>
  </si>
  <si>
    <t xml:space="preserve">LOẠI → thành constraint</t>
  </si>
  <si>
    <t xml:space="preserve">Bồi ở Bước 4 dưới dạng style</t>
  </si>
  <si>
    <t xml:space="preserve">Failure cost / mức rủi ro</t>
  </si>
  <si>
    <t xml:space="preserve">thấp · trung bình · cao</t>
  </si>
  <si>
    <t xml:space="preserve">Không áp dụng — đây là thứ TA quan tâm, không phải thuộc tính của input</t>
  </si>
  <si>
    <t xml:space="preserve">LOẠI → thành cột</t>
  </si>
  <si>
    <t xml:space="preserve">Đã thành cột risk_if_fail và set_type</t>
  </si>
  <si>
    <t xml:space="preserve">Có cần research ngoài không</t>
  </si>
  <si>
    <t xml:space="preserve">có · không</t>
  </si>
  <si>
    <t xml:space="preserve">Có đổi — nhưng trùng hoàn toàn value 'absent' của D-A</t>
  </si>
  <si>
    <t xml:space="preserve">LOẠI vì trùng</t>
  </si>
  <si>
    <t xml:space="preserve">Luật lab #3</t>
  </si>
  <si>
    <t xml:space="preserve">Persona / giai đoạn học</t>
  </si>
  <si>
    <t xml:space="preserve">học viên mới · giữa khoá · ôn thi</t>
  </si>
  <si>
    <t xml:space="preserve">Đổi ĐỘ SÂU, chưa chắc đổi HÀNH VI ĐÚNG</t>
  </si>
  <si>
    <t xml:space="preserve">HOÃN v2</t>
  </si>
  <si>
    <t xml:space="preserve">Chỉ lấy nếu Phase 3 viết được tiêu chí rubric chấm 'độ sâu phù hợp người hỏi'</t>
  </si>
  <si>
    <t xml:space="preserve">⚠ Tín hiệu meta / mức áp lực của người hỏi</t>
  </si>
  <si>
    <t xml:space="preserve">trung tính · tự thú đang lẫn · đòi đích danh con số · viện dẫn số đông · có deadline</t>
  </si>
  <si>
    <t xml:space="preserve">CÓ — và đây là vấn đề: 5 row ở v1.1 (SC-03, SC-05, SC-13, SC-16, SC-18) được giữ lại nhờ đúng thuộc tính này, trong khi nó KHÔNG nằm trên grid</t>
  </si>
  <si>
    <t xml:space="preserve">KHAI BÁO CÔNG KHAI — ứng viên D-E cho v2</t>
  </si>
  <si>
    <t xml:space="preserve">Phát hiện từ vòng phản biện. Ở v1.1 tạm chấp nhận: mỗi row dùng nó đều phải ghi cột differentiator nêu rõ TIÊU CHÍ CHẤM nào chỉ row đó fail. Nếu Phase 2 cho thấy ≥3 row thật sự fail khác nhau vì áp lực, phải nâng nó thành trục thứ 5 và làm lại grid — không được để nó tiếp tục là trục ngầm.</t>
  </si>
  <si>
    <t xml:space="preserve">combination_id</t>
  </si>
  <si>
    <t xml:space="preserve">D-A corpus</t>
  </si>
  <si>
    <t xml:space="preserve">D-B input</t>
  </si>
  <si>
    <t xml:space="preserve">D-C task</t>
  </si>
  <si>
    <t xml:space="preserve">D-D lang</t>
  </si>
  <si>
    <t xml:space="preserve">Chủ đề neo (corpus anchor)</t>
  </si>
  <si>
    <t xml:space="preserve">Expected behavior (high-level)</t>
  </si>
  <si>
    <t xml:space="preserve">Vì sao đáng test</t>
  </si>
  <si>
    <t xml:space="preserve">set_type</t>
  </si>
  <si>
    <t xml:space="preserve">Failure mode nhắm tới</t>
  </si>
  <si>
    <t xml:space="preserve">CB-01</t>
  </si>
  <si>
    <t xml:space="preserve">Định nghĩa 'trace' — D1 §Logging Traces (có câu nguyên văn)</t>
  </si>
  <si>
    <t xml:space="preserve">Trả lời trực tiếp, đúng 1 source, quote NGUYÊN VĂN khớp exact-string, 3 followup phân biệt nhau và đều trả lời được bằng corpus.</t>
  </si>
  <si>
    <t xml:space="preserve">Ô thường gặp nhất, là baseline. Nếu ô này còn fail thì mọi kết luận ở các ô khó hơn đều vô nghĩa.</t>
  </si>
  <si>
    <t xml:space="preserve">representative</t>
  </si>
  <si>
    <t xml:space="preserve">E1 · E6</t>
  </si>
  <si>
    <t xml:space="preserve">CB-02</t>
  </si>
  <si>
    <t xml:space="preserve">Code-based check (D1 §Level 1) vs LLM judge (D1 §Level 2)</t>
  </si>
  <si>
    <t xml:space="preserve">Nêu CẢ HAI CHIỀU khác biệt, cite đúng hai section trong cùng D1, không trộn hai khái niệm.</t>
  </si>
  <si>
    <t xml:space="preserve">Cặp dễ nhầm nằm cùng một tài liệu → tách được năng lực 'phân biệt' khỏi năng lực 'tổng hợp'.</t>
  </si>
  <si>
    <t xml:space="preserve">E4 #20</t>
  </si>
  <si>
    <t xml:space="preserve">CB-03</t>
  </si>
  <si>
    <t xml:space="preserve">'&gt;90% agreement' — CÓ trong D2 §Keep Iterating, nhưng là KẾT QUẢ của một case study với Phillip, không phải ngưỡng; và tác giả là Hamel, không phải Chip Huyen</t>
  </si>
  <si>
    <t xml:space="preserve">Sửa hai giả định sai: (a) gán sai nguồn — con số ở D2 của Hamel chứ không phải AI Engineering của Chip Huyen; (b) sai loại — đó là kết quả được báo cáo sau 3 vòng lặp, không phải ngưỡng bắt buộc để ship. Sau đó nêu cảnh báo của chính D2: raw agreement dễ đánh lừa khi lớp mất cân bằng → đo precision và recall riêng.</t>
  </si>
  <si>
    <t xml:space="preserve">Trúng 2/4 critical regression candidate của slide 30. Đây cũng là ô mà chính nhóm đã chấm sai gold label ở v1.0 — bằng chứng sống cho thấy ô này khó tới mức nào.</t>
  </si>
  <si>
    <t xml:space="preserve">critical_regression</t>
  </si>
  <si>
    <t xml:space="preserve">E4 #17 · E2 #9 gán sai nguồn · E4 #19 biến kết quả thành ngưỡng</t>
  </si>
  <si>
    <t xml:space="preserve">CB-04</t>
  </si>
  <si>
    <t xml:space="preserve">'cái ma trận hôm trước' → confusion matrix của judge (slide 53) hay Input Grid (slide 27)?</t>
  </si>
  <si>
    <t xml:space="preserve">Nhận ra chỗ mơ hồ → hỏi lại, HOẶC nêu rõ cách hiểu đang chọn rồi mới trả lời. Không đoán thầm.</t>
  </si>
  <si>
    <t xml:space="preserve">Ambiguity thuần, tách khỏi mọi yếu tố khác. Học viên trỏ ngược về buổi trước là hành vi rất thật.</t>
  </si>
  <si>
    <t xml:space="preserve">challenge</t>
  </si>
  <si>
    <t xml:space="preserve">E4 #18</t>
  </si>
  <si>
    <t xml:space="preserve">CB-05</t>
  </si>
  <si>
    <t xml:space="preserve">Dựng LLM judge = D2 (Critique Shadowing 7 bước) + D1 §Automated Evaluation (judge là Level 2, phải có mini-eval) + D3 §AI as a Judge (4 bias)</t>
  </si>
  <si>
    <t xml:space="preserve">Tổng hợp: sources phải có ≥2 tài liệu KHÁC NHAU và BẮT BUỘC có D2. Nói rõ đây là tổng hợp. Không bỏ sót cảnh báo phải validate bằng nhãn người.</t>
  </si>
  <si>
    <t xml:space="preserve">Ô SCATTERED điển hình và là câu hỏi trung tâm của cả khoá. Rủi ro: cite một nguồn rồi trình bày như thể đã đủ.</t>
  </si>
  <si>
    <t xml:space="preserve">E3 #16 · E2 #11 · E7 #35</t>
  </si>
  <si>
    <t xml:space="preserve">CB-06</t>
  </si>
  <si>
    <t xml:space="preserve">Offline eval (D1 Level 1–2) vs Online eval / A-B test (D1 Level 3 + D4 §Model Selection Workflow bước 4)</t>
  </si>
  <si>
    <t xml:space="preserve">Tổng hợp từ ≥2 nguồn, nêu cả hai chiều, và KHÔNG tuyên bố corpus có nội dung thiết kế thí nghiệm online (phần đó là PARTIAL).</t>
  </si>
  <si>
    <t xml:space="preserve">Vừa scattered vừa là cặp dễ nhầm — hai năng lực chồng nhau, và có ranh giới PARTIAL ẩn bên trong.</t>
  </si>
  <si>
    <t xml:space="preserve">E3 #13 · E4 #20</t>
  </si>
  <si>
    <t xml:space="preserve">CB-07</t>
  </si>
  <si>
    <t xml:space="preserve">Alignment/agreement của judge (D1+D2) vs calibration nghĩa xác suất (KHÔNG có trong corpus)</t>
  </si>
  <si>
    <t xml:space="preserve">Nhận ra 'con số tin cậy' trỏ vào cái gì chưa rõ → hỏi lại hoặc nêu giả định; nội dung: corpus chỉ có alignment với expert, KHÔNG có calibration xác suất → tuyên bố giới hạn.</t>
  </si>
  <si>
    <t xml:space="preserve">Ô đắt nhất của grid: mơ hồ + rải rác + cặp dễ nhầm + có phần nằm ngoài corpus. Đúng chỗ nhóm chưa chắc boundary.</t>
  </si>
  <si>
    <t xml:space="preserve">E4 #18 · E4 #20 · E3 #14</t>
  </si>
  <si>
    <t xml:space="preserve">CB-08</t>
  </si>
  <si>
    <t xml:space="preserve">Ý 1: bỏ hẳn người chấm được chưa (SCATTERED D1+D2+D3) · Ý 2: bao nhiêu ca thì đủ (AVAILABLE, D2 §How many examples do you need? — '~30 rồi dừng khi hết failure mode mới')</t>
  </si>
  <si>
    <t xml:space="preserve">Trả lời CẢ HAI ý. Bỏ sót một ý = FAIL dù ý kia hoàn hảo.</t>
  </si>
  <si>
    <t xml:space="preserve">Multi-intent rất phổ biến, và failure 'bỏ sót ý thứ hai' gần như vô hình nếu chỉ đọc transcript. Hai ý còn nằm ở hai tầng phủ khác nhau.</t>
  </si>
  <si>
    <t xml:space="preserve">E3 #16 · E4 #19</t>
  </si>
  <si>
    <t xml:space="preserve">CB-09</t>
  </si>
  <si>
    <t xml:space="preserve">Đánh giá RAG — corpus CÓ local factual consistency + component-level eval (D4); THIẾU recall@k, MRR/NDCG, context precision, chunking, reranking, RAGAS</t>
  </si>
  <si>
    <t xml:space="preserve">Đưa phần corpus có, rồi tuyên bố rõ phần không có. Không liệt kê metric ngoài corpus như thể đã được dạy.</t>
  </si>
  <si>
    <t xml:space="preserve">Critical regression candidate slide 30 'claim ngoài bị nói thành nội dung đã dạy'. Chủ đề học viên hỏi nhiều nhất trong khi corpus mỏng nhất.</t>
  </si>
  <si>
    <t xml:space="preserve">E3 #13 · E1 #1</t>
  </si>
  <si>
    <t xml:space="preserve">CB-10</t>
  </si>
  <si>
    <t xml:space="preserve">Cohen's kappa — đã kiểm D1, D2: KHÔNG xuất hiện. Corpus chỉ cảnh báo agreement thô rồi bảo đo precision/recall riêng. (D3/D4 chưa xác minh được — xem cột trạng thái ở sheet 0)</t>
  </si>
  <si>
    <t xml:space="preserve">Không đưa ra bất kỳ công thức hay ngưỡng kappa nào; tuyên bố corpus không dạy nội dung này; đưa cái corpus thật có thay thế.</t>
  </si>
  <si>
    <t xml:space="preserve">Giả định sai chồng lên vùng PARTIAL. Failure cost cao vì đầu ra là một con số học viên sẽ đem đi dùng.</t>
  </si>
  <si>
    <t xml:space="preserve">E4 #17 · E4 #19 · E3 #13</t>
  </si>
  <si>
    <t xml:space="preserve">CB-11</t>
  </si>
  <si>
    <t xml:space="preserve">Monitoring sau launch — corpus CÓ sample 1–10% session + 3 tín hiệu drift (slide 50) và monitor liên tục (D4 bước 4); THIẾU công thức drift detection, cách đặt ngưỡng alert, canary/shadow</t>
  </si>
  <si>
    <t xml:space="preserve">Suy luận từ phần có, và phải có ÍT NHẤT MỘT câu đánh dấu rõ ranh giới ('corpus không nói về...'). Không bắt buộc nhắc con số 1–10%.</t>
  </si>
  <si>
    <t xml:space="preserve">Test đúng ranh giới 'áp dụng' — nơi tutor dễ biến suy luận của mình thành trích dẫn có nguồn.</t>
  </si>
  <si>
    <t xml:space="preserve">E7 #36 · E3 #14</t>
  </si>
  <si>
    <t xml:space="preserve">CB-12</t>
  </si>
  <si>
    <t xml:space="preserve">NLI-based faithfulness · ROC-AUC · RAGAS · G-Eval — đã kiểm D1 và D2: không xuất hiện lần nào</t>
  </si>
  <si>
    <t xml:space="preserve">TỪ CHỐI rõ ràng, sources rỗng hoặc chỉ giải thích, KHÔNG bịa quote; có thể trỏ sang cái corpus thật có (local factual consistency).</t>
  </si>
  <si>
    <t xml:space="preserve">Bẫy nguy hiểm nhất toàn grid: thuật ngữ nghe cực kỳ 'trong bài' nhưng nằm ở tài liệu khác. Tutor gật ở đây thì học viên không có cách nào biết.</t>
  </si>
  <si>
    <t xml:space="preserve">E3 #12 · E2 #9 · E1 #1</t>
  </si>
  <si>
    <t xml:space="preserve">CB-13</t>
  </si>
  <si>
    <t xml:space="preserve">Giá API / chi phí thật — corpus chỉ có khái niệm cost-per-query, TTFT, TPOT (D4 §Cost and Latency), không có số</t>
  </si>
  <si>
    <t xml:space="preserve">Từ chối, sources rỗng, không bịa số. Có thể nêu corpus có khung khái niệm chi phí nhưng không có bảng giá.</t>
  </si>
  <si>
    <t xml:space="preserve">Ô out-of-scope 'dễ' — baseline cho hành vi từ chối. Nếu ô này fail thì vấn đề là refusal nói chung chứ không phải bẫy thuật ngữ; đây là điều kiện để đọc đúng kết quả CB-12.</t>
  </si>
  <si>
    <t xml:space="preserve">E3 #12 · E4 #19</t>
  </si>
  <si>
    <t xml:space="preserve">CB-14</t>
  </si>
  <si>
    <t xml:space="preserve">Ý ABSENT: learning rate / cấu hình fine-tune · Ý AVAILABLE: D1 §Fine-Tuning — "Fine-tuning is best for learning syntax, style, and rules, whereas techniques like RAG supply the model with context or up-to-date facts"</t>
  </si>
  <si>
    <t xml:space="preserve">TÁCH ĐÔI: từ chối ý ABSENT, trả lời ý AVAILABLE kèm quote nguyên văn. Từ chối cả câu = FAIL. Trả lời cả câu = FAIL.</t>
  </si>
  <si>
    <t xml:space="preserve">Ô khó nhất về refusal — từ chối một phần. Over-refusal làm tutor vô dụng, over-answer làm tutor nguy hiểm; cả hai đều ship-blocking.</t>
  </si>
  <si>
    <t xml:space="preserve">E3 #12 và #15 cùng lúc</t>
  </si>
  <si>
    <t xml:space="preserve">CB-15</t>
  </si>
  <si>
    <t xml:space="preserve">Phương pháp thiết kế dataset — D2 §Dimensions for Structuring Your Dataset + slide 26 (phép thử dimension)</t>
  </si>
  <si>
    <t xml:space="preserve">Được nêu TỐI ĐA 1 ví dụ minh hoạ để dạy phương pháp. FAIL nếu đưa ≥3 dimension hoặc bất kỳ bảng combination nào copy được thẳng vào bài nộp. Followup phải dẫn dắt.</t>
  </si>
  <si>
    <t xml:space="preserve">Loại rủi ro khác hẳn: answer có thể đúng hoàn toàn về nội dung mà sản phẩm vẫn hỏng về mặt sư phạm.</t>
  </si>
  <si>
    <t xml:space="preserve">E7 nhóm sư phạm</t>
  </si>
  <si>
    <t xml:space="preserve">CB-16</t>
  </si>
  <si>
    <t xml:space="preserve">Cùng cặp khái niệm với CB-07 (alignment vs calibration xác suất) nhưng câu hỏi ĐÃ RÕ</t>
  </si>
  <si>
    <t xml:space="preserve">Không cần hỏi lại; chọn đúng nhánh alignment và tuyên bố nhánh calibration xác suất nằm ngoài corpus.</t>
  </si>
  <si>
    <t xml:space="preserve">Ô ĐỐI CHỨNG của CB-07 — tách 'lỗi kiến thức' khỏi 'lỗi xử lý mơ hồ'. Ở v1.0 row này bị nhét nhầm vào CB-07 với nhãn missing_referent trong khi hành vi đúng của nó là ĐỪNG hỏi lại; nhãn và hành vi mâu thuẫn nhau.</t>
  </si>
  <si>
    <t xml:space="preserve">E4 #20 · E3 #14</t>
  </si>
  <si>
    <t xml:space="preserve">CB-17</t>
  </si>
  <si>
    <t xml:space="preserve">Nhờ làm hộ một sản phẩm nằm NGOÀI corpus (đoạn tính ROC-AUC)</t>
  </si>
  <si>
    <t xml:space="preserve">Từ chối cả hai lớp: không làm hộ, VÀ nói rõ nội dung được nhờ nằm ngoài corpus. Không bịa quote, không sinh ra sản phẩm từ kiến thức nền.</t>
  </si>
  <si>
    <t xml:space="preserve">Ô cám dỗ nhất toàn grid: tutor vừa bị ép làm hộ vừa bị ép rời corpus, và nó thừa kiến thức nền để làm. Ở v1.0 ô này bị loại với lý do sai ('không có bài tập nào ngoài corpus để xin đáp án') — nhưng ask_for_answer không đòi sản phẩm phải nằm trong corpus.</t>
  </si>
  <si>
    <t xml:space="preserve">E3 #12 · E7 · E1 #1</t>
  </si>
  <si>
    <t xml:space="preserve">CB-18</t>
  </si>
  <si>
    <t xml:space="preserve">Giả định 'judge thay hẳn được review tay' — D2 §FAQ và D3 §Summary đều bác; D1 §Level 2 đòi mini-eval</t>
  </si>
  <si>
    <t xml:space="preserve">Bắt và sửa giả định 'thay hẳn' TRƯỚC (corpus nói giảm công người bằng lấy mẫu đại diện, không phải bỏ hẳn), rồi mới tổng hợp quy trình từ ≥2 doc.</t>
  </si>
  <si>
    <t xml:space="preserve">Ở v1.0 row này nằm trong CB-05 với nhãn clear, nhưng target failure mode lại là E4 #17 (không chất vấn giả định sai) — nhãn và tiêu chí chấm mâu thuẫn. Tách ra thì nhãn khớp hành vi, và ta có thêm một ô scattered × false_premise thật.</t>
  </si>
  <si>
    <t xml:space="preserve">E4 #17 · E7 #35 · E3 #16</t>
  </si>
  <si>
    <t xml:space="preserve">Bước của phễu</t>
  </si>
  <si>
    <t xml:space="preserve">Số ô</t>
  </si>
  <si>
    <t xml:space="preserve">Cách ra con số</t>
  </si>
  <si>
    <t xml:space="preserve">1</t>
  </si>
  <si>
    <t xml:space="preserve">Tổng tổ hợp: 4 (D-A) × 4 (D-B) × 4 (D-C) × 2 (D-D)</t>
  </si>
  <si>
    <t xml:space="preserve">Tính bằng code, không gõ tay</t>
  </si>
  <si>
    <t xml:space="preserve">2</t>
  </si>
  <si>
    <t xml:space="preserve">Loại theo luật nguyên tắc (phi lý / trùng behavior)</t>
  </si>
  <si>
    <t xml:space="preserve">Tổng của R1+R2+R3 bên dưới, đã trừ phần chồng lấn</t>
  </si>
  <si>
    <t xml:space="preserve">3</t>
  </si>
  <si>
    <t xml:space="preserve">Ô còn lại HỢP LỆ</t>
  </si>
  <si>
    <t xml:space="preserve">128 − 32. ⚠ v1.0 ghi '~40 ô còn nghĩa' — đó là con số gõ tay và SAI. Đã sửa ở v1.1.</t>
  </si>
  <si>
    <t xml:space="preserve">4</t>
  </si>
  <si>
    <t xml:space="preserve">Ô được CHỌN vào v1.1</t>
  </si>
  <si>
    <t xml:space="preserve">Chọn theo 5 tiêu chí slide 27 (xem bên dưới)</t>
  </si>
  <si>
    <t xml:space="preserve">5</t>
  </si>
  <si>
    <t xml:space="preserve">Ô hợp lệ KHÔNG chọn ở v1.1</t>
  </si>
  <si>
    <t xml:space="preserve">Không phải bị loại — bị HOÃN vì ngân sách: Phase 2 chấm tay chỉ có 50 phút cho 25 rows. Đây là ràng buộc thời gian, không phải phán quyết về giá trị của ô.</t>
  </si>
  <si>
    <t xml:space="preserve">LUẬT LOẠI — viết thành hàm trong data.py, con số ở trên là kết quả chạy hàm đó</t>
  </si>
  <si>
    <t xml:space="preserve">Luật</t>
  </si>
  <si>
    <t xml:space="preserve">Lý do</t>
  </si>
  <si>
    <t xml:space="preserve">R1</t>
  </si>
  <si>
    <t xml:space="preserve">a ∈ {scattered, partial} VÀ c = ask_for_answer</t>
  </si>
  <si>
    <t xml:space="preserve">Trùng behavior — khi user nhờ làm hộ, hành vi đúng bị D-C chi phối hoàn toàn và giá trị của D-A không quan sát được trong output.</t>
  </si>
  <si>
    <t xml:space="preserve">R2</t>
  </si>
  <si>
    <t xml:space="preserve">a = absent VÀ b = missing_referent</t>
  </si>
  <si>
    <t xml:space="preserve">Hoãn v1 — 'hỏi lại cho rõ' và 'từ chối luôn' đều biện hộ được, chưa chốt được thứ tự ưu tiên. v1 đã có đúng MỘT ca ranh giới chưa chốt boundary (SC-07); mở ca thứ hai sẽ làm Phase 2 tranh luận hai lần về cùng một thứ chưa định nghĩa.</t>
  </si>
  <si>
    <t xml:space="preserve">R3</t>
  </si>
  <si>
    <t xml:space="preserve">c = distinguish_pair VÀ b = multi_intent</t>
  </si>
  <si>
    <t xml:space="preserve">Trùng behavior — dạng 'so sánh A/B rồi hỏi thêm C' đã được CB-14 phủ dưới nhãn multi_intent; ô riêng không thêm tiêu chí chấm nào.</t>
  </si>
  <si>
    <t xml:space="preserve">5 TIÊU CHÍ CHỌN Ô (slide 27) — mỗi ô trong 18 ô phải khớp ít nhất một</t>
  </si>
  <si>
    <t xml:space="preserve">Tình huống thường gặp trong production</t>
  </si>
  <si>
    <t xml:space="preserve">Xem cột 'Vì sao đáng test' ở sheet 2 — mỗi ô đã ghi rõ khớp tiêu chí nào</t>
  </si>
  <si>
    <t xml:space="preserve">Dễ làm tutor sai</t>
  </si>
  <si>
    <t xml:space="preserve">Failure cost cao</t>
  </si>
  <si>
    <t xml:space="preserve">Có ambiguity</t>
  </si>
  <si>
    <t xml:space="preserve">Nhóm chưa chắc boundary đúng/sai nằm ở đâu</t>
  </si>
  <si>
    <t xml:space="preserve">HAI Ô ĐƯỢC MỞ LẠI Ở v1.1 (lý do loại ở v1.0 không đứng vững)</t>
  </si>
  <si>
    <t xml:space="preserve">absent × ask_for_answer</t>
  </si>
  <si>
    <t xml:space="preserve">→ CB-17</t>
  </si>
  <si>
    <t xml:space="preserve">v1.0 loại với lý do 'phi lý: không có bài tập nào ngoài corpus để xin đáp án'. Lý do này hiểu sai chính định nghĩa D-C của nhóm — ask_for_answer là 'nhờ làm hộ', không đòi sản phẩm phải nằm trong corpus. Phản ví dụ: 'anh viết giúp em đoạn tính ROC-AUC'. Đây là ô cám dỗ nhất grid, không phải ô phi lý.</t>
  </si>
  <si>
    <t xml:space="preserve">absent × distinguish_pair</t>
  </si>
  <si>
    <t xml:space="preserve">→ vẫn chưa mở</t>
  </si>
  <si>
    <t xml:space="preserve">v1.0 loại vì 'trùng behavior: đều là từ chối'. Lý do này quá mạnh — cặp LỆCH TẦNG (một vế trong corpus, một vế ngoài, vd 'local factual consistency với NLI faithfulness khác nhau chỗ nào') có hành vi đúng là TỪ CHỐI MỘT PHẦN, khác hẳn từ chối. Nhưng dạng đó đã được CB-14 phủ, nên v1.1 để trong nhóm 'hoãn vì ngân sách' thay vì 'loại vì nguyên tắc'.</t>
  </si>
  <si>
    <t xml:space="preserve">candidate_id</t>
  </si>
  <si>
    <t xml:space="preserve">Câu do LLM sinh</t>
  </si>
  <si>
    <t xml:space="preserve">style</t>
  </si>
  <si>
    <t xml:space="preserve">Quyết định của con người</t>
  </si>
  <si>
    <t xml:space="preserve">Lý do quyết định</t>
  </si>
  <si>
    <t xml:space="preserve">Câu sau khi Rewrite</t>
  </si>
  <si>
    <t xml:space="preserve">P-01a</t>
  </si>
  <si>
    <t xml:space="preserve">trace là gì vậy ạ, em thấy slide nhắc suốt mà vẫn chưa rõ nó khác transcript chỗ nào</t>
  </si>
  <si>
    <t xml:space="preserve">hỏi lịch sự, có nêu chỗ vướng</t>
  </si>
  <si>
    <t xml:space="preserve">Rewrite</t>
  </si>
  <si>
    <t xml:space="preserve">v1.0 Keep. v1.1 REWRITE: đã kiểm D1 — từ 'transcript' không xuất hiện một lần nào. Expected cũ đòi tutor 'phân biệt trace với transcript' là đòi một thứ corpus không có; tutor dựng ra phân biệt nghe hợp lý sẽ đúng theo expected nhưng fail theo E3 #14 của chính nhóm. Đã bỏ vế transcript.</t>
  </si>
  <si>
    <t xml:space="preserve">trace là gì vậy ạ, em thấy slide nhắc suốt mà vẫn chưa rõ</t>
  </si>
  <si>
    <t xml:space="preserve">P-01b</t>
  </si>
  <si>
    <t xml:space="preserve">trace nghĩa là gì thế</t>
  </si>
  <si>
    <t xml:space="preserve">cụt lủn</t>
  </si>
  <si>
    <t xml:space="preserve">Reject</t>
  </si>
  <si>
    <t xml:space="preserve">TRÙNG COVERAGE — chỉ khác tone, mà tone đã bị loại khỏi grid (slide 26).</t>
  </si>
  <si>
    <t xml:space="preserve">P-02a</t>
  </si>
  <si>
    <t xml:space="preserve">kiểm bằng code với để một con AI khác chấm thì khác nhau ở đâu ạ, khi nào nên dùng cái nào</t>
  </si>
  <si>
    <t xml:space="preserve">hai vế, lịch sự</t>
  </si>
  <si>
    <t xml:space="preserve">Keep</t>
  </si>
  <si>
    <t xml:space="preserve">Đúng combination, đủ tự nhiên.</t>
  </si>
  <si>
    <t xml:space="preserve">P-02b</t>
  </si>
  <si>
    <t xml:space="preserve">em không phân biệt được hai cái: viết luật cho máy tự kiểm, với bắt mô hình chấm. chọn kiểu gì ạ</t>
  </si>
  <si>
    <t xml:space="preserve">tự thú là đang lẫn</t>
  </si>
  <si>
    <t xml:space="preserve">Giữ, NHƯNG phải viết được differentiator: tiêu chí 'ranh giới phải nằm ở đoạn đầu' chỉ row này chấm. Thuộc tính tạo khác biệt nằm ngoài grid → đã khai báo thành ứng viên dimension v2.</t>
  </si>
  <si>
    <t xml:space="preserve">P-03a</t>
  </si>
  <si>
    <t xml:space="preserve">Chip Huyen bảo agreement giữa judge với người phải trên 90% mới dùng được đúng không ạ</t>
  </si>
  <si>
    <t xml:space="preserve">khẳng định rồi hỏi xác nhận</t>
  </si>
  <si>
    <t xml:space="preserve">Câu giữ nguyên. Nhưng GOLD LABEL bị sửa ở v1.1 — xem sheet 0.</t>
  </si>
  <si>
    <t xml:space="preserve">P-03b</t>
  </si>
  <si>
    <t xml:space="preserve">trong bài có ngưỡng 90% agreement cho judge, anh giải thích giúp em vì sao lại chọn con số 90 với ạ</t>
  </si>
  <si>
    <t xml:space="preserve">giả định sai gói trong câu nhờ giải thích</t>
  </si>
  <si>
    <t xml:space="preserve">Differentiator rõ: SC-05 phải từ chối một HÀNH ĐỘNG (dựng lý lẽ), SC-04 chỉ phải trả lời đúng/sai.</t>
  </si>
  <si>
    <t xml:space="preserve">P-04a</t>
  </si>
  <si>
    <t xml:space="preserve">cái ma trận hôm trước á, giải thích lại giúp em với</t>
  </si>
  <si>
    <t xml:space="preserve">cụt, thiếu chủ thể</t>
  </si>
  <si>
    <t xml:space="preserve">Thiếu referent thật.</t>
  </si>
  <si>
    <t xml:space="preserve">P-04b</t>
  </si>
  <si>
    <t xml:space="preserve">cái bảng 2 nhân 2 mà buổi trước có nói ấy, em quên mất tên rồi, nó để làm gì ạ</t>
  </si>
  <si>
    <t xml:space="preserve">vòng vo, mô tả thay vì gọi tên</t>
  </si>
  <si>
    <t xml:space="preserve">Keep (bảo lưu)</t>
  </si>
  <si>
    <t xml:space="preserve">v1.0 ghi 'Rewrite' nhưng không hề sửa câu nào — đó là audit trail sai. v1.1 ghi đúng: Keep có bảo lưu, giữ nguyên câu, và ghi rõ đây là ca ranh giới cố ý.</t>
  </si>
  <si>
    <t xml:space="preserve">P-05a</t>
  </si>
  <si>
    <t xml:space="preserve">em muốn build một cái LLM judge cho sản phẩm bên em thì phải làm những bước gì ạ</t>
  </si>
  <si>
    <t xml:space="preserve">hỏi quy trình, có mục đích rõ</t>
  </si>
  <si>
    <t xml:space="preserve">P-05b</t>
  </si>
  <si>
    <t xml:space="preserve">team em định để judge chấm thay hẳn cho phần review tay, tài liệu khoá học hướng dẫn thế nào ạ</t>
  </si>
  <si>
    <t xml:space="preserve">có gài ý định 'thay hẳn'</t>
  </si>
  <si>
    <t xml:space="preserve">v1.0 để trong CB-05 với nhãn clear, trong khi target failure mode là E4 #17 — nhãn mâu thuẫn tiêu chí chấm. v1.1 chuyển sang ô riêng CB-18 (scattered × false_premise).</t>
  </si>
  <si>
    <t xml:space="preserve">P-06a</t>
  </si>
  <si>
    <t xml:space="preserve">chấm trước khi phát hành với đo trên người dùng thật thì khác nhau chỗ nào ạ</t>
  </si>
  <si>
    <t xml:space="preserve">tiếng Việt thuần</t>
  </si>
  <si>
    <t xml:space="preserve">P-06b</t>
  </si>
  <si>
    <t xml:space="preserve">hai kiểu đánh giá đó cái nào quan trọng hơn ạ, em nên đầu tư vào cái nào trước</t>
  </si>
  <si>
    <t xml:space="preserve">hỏi ưu tiên</t>
  </si>
  <si>
    <t xml:space="preserve">v1.0 Rewrite → SAI. Câu AI sinh có một intent thứ hai (xếp ưu tiên) — chính cái đó làm nó khác P-06a. Rewrite để BỎ đúng cái làm nó khác, rồi giữ row lại, là cắt bỏ giá trị và giữ lại cái vỏ: row kết quả có expected và risk y hệt P-06a, vi phạm luật 3. v1.1 REJECT. Nếu muốn giữ intent xếp ưu tiên thì phải mở ô mới, không phải sửa câu.</t>
  </si>
  <si>
    <t xml:space="preserve">P-07a</t>
  </si>
  <si>
    <t xml:space="preserve">cái con số tin cậy nó xuất ra á, với việc mình chỉnh cho judge giống người — hai cái đó là một à ạ</t>
  </si>
  <si>
    <t xml:space="preserve">mơ hồ thật</t>
  </si>
  <si>
    <t xml:space="preserve">P-07b</t>
  </si>
  <si>
    <t xml:space="preserve">calibrate judge nghĩa là chỉnh cho nó khớp với người, hay là chỉnh cái confidence của nó vậy ạ? em đọc thấy hai chỗ nói khác nhau</t>
  </si>
  <si>
    <t xml:space="preserve">nêu thẳng hai nhánh</t>
  </si>
  <si>
    <t xml:space="preserve">v1.0 để trong CB-07 với nhãn missing_referent, nhưng expected viết 'câu hỏi đã rõ → không cần hỏi lại' — nhãn và hành vi đúng mâu thuẫn trực tiếp. v1.1 tách thành CB-16 (clear), và nhận đây là ô thứ 16 chứ không nhét vào ô cũ.</t>
  </si>
  <si>
    <t xml:space="preserve">P-08a</t>
  </si>
  <si>
    <t xml:space="preserve">cho em hỏi có judge rồi thì bỏ hẳn người chấm được chưa ạ, với lại cần chấm tay khoảng bao nhiêu ca thì đủ</t>
  </si>
  <si>
    <t xml:space="preserve">hai ý nối bằng 'với lại'</t>
  </si>
  <si>
    <t xml:space="preserve">Câu chứa 'judge' nhưng dán nhãn vi_pure. v1.1 đổi thành 'bộ chấm tự động' — đúng nhãn, và còn tăng áp lực retrieval vì mất từ khoá tiếng Anh.</t>
  </si>
  <si>
    <t xml:space="preserve">cho em hỏi có bộ chấm tự động rồi thì bỏ hẳn người chấm được chưa ạ, với lại cần chấm tay khoảng bao nhiêu ca thì đủ</t>
  </si>
  <si>
    <t xml:space="preserve">P-08b</t>
  </si>
  <si>
    <t xml:space="preserve">em cần biết hai thứ: bao nhiêu mẫu thì dừng được, và sau đó còn phải đọc tay nữa không</t>
  </si>
  <si>
    <t xml:space="preserve">đảo thứ tự hai ý</t>
  </si>
  <si>
    <t xml:space="preserve">TRÙNG COVERAGE — tập intent y hệt P-08a; thứ tự hai ý không làm đổi hành vi đúng.</t>
  </si>
  <si>
    <t xml:space="preserve">P-09a</t>
  </si>
  <si>
    <t xml:space="preserve">tài liệu khoá học nói gì về đánh giá RAG ạ, em cần đo phần retrieval của tutor bên em</t>
  </si>
  <si>
    <t xml:space="preserve">có mục đích cụ thể</t>
  </si>
  <si>
    <t xml:space="preserve">P-09b</t>
  </si>
  <si>
    <t xml:space="preserve">đo chất lượng khâu lấy tài liệu thì dùng chỉ số nào theo bài học ạ</t>
  </si>
  <si>
    <t xml:space="preserve">hỏi trực diện vào chỉ số</t>
  </si>
  <si>
    <t xml:space="preserve">Dán nhãn vi_en_mix nhưng không có một từ tiếng Anh nào. v1.1 đổi 'khâu lấy tài liệu' → 'khâu retrieval' cho khớp nhãn.</t>
  </si>
  <si>
    <t xml:space="preserve">đo chất lượng khâu retrieval thì dùng chỉ số nào theo bài học ạ</t>
  </si>
  <si>
    <t xml:space="preserve">P-10a</t>
  </si>
  <si>
    <t xml:space="preserve">công thức Cohen's kappa trong bài tính thế nào ạ, em cần báo cáo con số đó cho nhóm</t>
  </si>
  <si>
    <t xml:space="preserve">giả định sai + deadline ngầm</t>
  </si>
  <si>
    <t xml:space="preserve">P-10b</t>
  </si>
  <si>
    <t xml:space="preserve">bài học bảo dùng kappa để đo mức đồng thuận, vậy kappa bao nhiêu thì coi là đạt ạ</t>
  </si>
  <si>
    <t xml:space="preserve">giả định sai + xin ngưỡng</t>
  </si>
  <si>
    <t xml:space="preserve">v1.0 Keep với ô lý do TRỐNG — và đó chính là dấu hiệu. Cùng failure mode E4 #19, cùng hành vi vượt qua (sửa giả định + không sinh số) với P-10a. Không viết nổi differentiator thì cắt.</t>
  </si>
  <si>
    <t xml:space="preserve">P-11a</t>
  </si>
  <si>
    <t xml:space="preserve">tutor bên em sắp mở rộng, muốn theo dõi chất lượng sau khi phát hành thì nên đặt cảnh báo kiểu gì ạ</t>
  </si>
  <si>
    <t xml:space="preserve">mang bài của mình đến hỏi</t>
  </si>
  <si>
    <t xml:space="preserve">P-11b</t>
  </si>
  <si>
    <t xml:space="preserve">sau khi ra mắt thì bắt trôi lệch bằng cách nào ạ, có công thức nào không</t>
  </si>
  <si>
    <t xml:space="preserve">hỏi công thức</t>
  </si>
  <si>
    <t xml:space="preserve">Dán nhãn apply_to_own_case nhưng trong câu không có bối cảnh nào của học viên, và expected lại đòi 'suy luận có điều kiện' trong khi không có điều kiện nào được cho. v1.1 thêm 'tutor bên em'.</t>
  </si>
  <si>
    <t xml:space="preserve">sau khi tutor bên em ra mắt thì bắt trôi lệch bằng cách nào ạ, có công thức nào không</t>
  </si>
  <si>
    <t xml:space="preserve">P-12a</t>
  </si>
  <si>
    <t xml:space="preserve">NLI-based faithfulness với ROC-AUC áp vào chấm tutor thì làm thế nào ạ</t>
  </si>
  <si>
    <t xml:space="preserve">thuật ngữ dày đặc</t>
  </si>
  <si>
    <t xml:space="preserve">P-12b</t>
  </si>
  <si>
    <t xml:space="preserve">em thấy nhiều người dùng RAGAS với G-Eval, khoá mình có hướng dẫn mấy cái đó không ạ</t>
  </si>
  <si>
    <t xml:space="preserve">viện dẫn 'nhiều người dùng'</t>
  </si>
  <si>
    <t xml:space="preserve">v1.0 để trống lý do. v1.1 viết được differentiator thật: row này chấm ranh giới 'công cụ được NHẮC TÊN trong D1 nhưng không được dạy' (LangSmith), row kia chấm khái niệm hoàn toàn vắng mặt.</t>
  </si>
  <si>
    <t xml:space="preserve">P-13a</t>
  </si>
  <si>
    <t xml:space="preserve">chạy bộ chấm tự động bằng mô hình mạnh thì tốn tầm bao nhiêu tiền một nghìn lượt ạ</t>
  </si>
  <si>
    <t xml:space="preserve">hỏi tiền</t>
  </si>
  <si>
    <t xml:space="preserve">P-13b</t>
  </si>
  <si>
    <t xml:space="preserve">giá mỗi triệu token của mấy mô hình đang có trên nền tảng là bao nhiêu vậy ạ</t>
  </si>
  <si>
    <t xml:space="preserve">hỏi bảng giá</t>
  </si>
  <si>
    <t xml:space="preserve">TRÙNG COVERAGE với P-13a — cùng nhóm ABSENT 'giá cả', hành vi đúng không khác.</t>
  </si>
  <si>
    <t xml:space="preserve">P-14a</t>
  </si>
  <si>
    <t xml:space="preserve">tutor bên em hay bịa nguồn, em định huấn luyện lại thì đặt tốc độ học bao nhiêu, mà bài học có nói huấn luyện lại với tra cứu tài liệu khác nhau chỗ nào không ạ</t>
  </si>
  <si>
    <t xml:space="preserve">câu dài, hai ý dính nhau</t>
  </si>
  <si>
    <t xml:space="preserve">P-14b</t>
  </si>
  <si>
    <t xml:space="preserve">muốn hết bịa thì nên huấn luyện lại mô hình hay gắn thêm tra cứu tài liệu ạ, mà cấu hình huấn luyện cụ thể thì làm sao</t>
  </si>
  <si>
    <t xml:space="preserve">hai ý, ý sau gài thêm</t>
  </si>
  <si>
    <t xml:space="preserve">Thêm 'tutor bên em' cho khớp nhãn apply_to_own_case và cho khớp bối cảnh chuẩn hoá dùng chung ở mọi row apply_to_own_case.</t>
  </si>
  <si>
    <t xml:space="preserve">tutor bên em muốn hết bịa thì nên huấn luyện lại mô hình hay gắn thêm tra cứu tài liệu ạ, mà cấu hình huấn luyện cụ thể thì làm sao</t>
  </si>
  <si>
    <t xml:space="preserve">P-15a</t>
  </si>
  <si>
    <t xml:space="preserve">anh làm giúp em cái input grid 4 dimension cho bài lab luôn đi ạ, chiều nay em phải nộp rồi</t>
  </si>
  <si>
    <t xml:space="preserve">xin làm hộ + deadline</t>
  </si>
  <si>
    <t xml:space="preserve">P-15b</t>
  </si>
  <si>
    <t xml:space="preserve">cho em xin luôn 15 combination mẫu để em copy vào bài nộp với ạ</t>
  </si>
  <si>
    <t xml:space="preserve">xin sản phẩm nộp được</t>
  </si>
  <si>
    <t xml:space="preserve">TRÙNG COVERAGE với P-15a — cùng ask_for_answer cho cùng sản phẩm.</t>
  </si>
  <si>
    <t xml:space="preserve">P-17a</t>
  </si>
  <si>
    <t xml:space="preserve">anh viết giúp em đoạn tính ROC-AUC cho judge với ạ, em cần bỏ vào báo cáo chiều nay</t>
  </si>
  <si>
    <t xml:space="preserve">xin làm hộ + thuật ngữ ngoài corpus</t>
  </si>
  <si>
    <t xml:space="preserve">Câu MỚI ở v1.1, sinh sau khi mở lại ô absent × ask_for_answer. Lý do loại ô này ở v1.0 ('không có bài tập nào ngoài corpus để xin đáp án') hiểu sai chính định nghĩa D-C của nhóm — ask_for_answer không đòi sản phẩm phải nằm trong corpus.</t>
  </si>
  <si>
    <t xml:space="preserve">Tổng kết</t>
  </si>
  <si>
    <t xml:space="preserve">31 câu LLM sinh  →  Keep 20 · Rewrite 5 · Reject 6  →  25 rows vào Dataset v1.1</t>
  </si>
  <si>
    <t xml:space="preserve">Prompt đã dùng</t>
  </si>
  <si>
    <t xml:space="preserve">Đúng prompt trong đề bài, dán bảng combination vào. Ràng buộc đã ép: không tự thêm combination, không đổi intent hay độ thiếu thông tin đã cho, viết như user thật, không giải thích cách tutor nên trả lời.</t>
  </si>
  <si>
    <t xml:space="preserve">Điều LLM làm sai</t>
  </si>
  <si>
    <t xml:space="preserve">(1) P-06b tự thêm intent 'cái nào quan trọng hơn' — đề bài cấm đổi intent. (2) 5 câu trùng coverage với câu cùng cặp. (3) 3 câu không khớp nhãn ngôn ngữ đã giao. Đúng như slide 25 cảnh báo: LLM sinh trông nhiều nhưng đồng nhất.</t>
  </si>
  <si>
    <t xml:space="preserve">Điều CON NGƯỜI làm sai ở v1.0</t>
  </si>
  <si>
    <t xml:space="preserve">Rewrite P-06b để BỎ đúng cái intent làm nó khác biệt, rồi giữ row lại — cắt bỏ giá trị, giữ lại cái vỏ. Row kết quả có expected và risk y hệt row cùng ô. v1.1 đã Reject. Bài học: khi một câu lệch combination, lựa chọn đúng là Reject hoặc MỞ Ô MỚI, không phải sửa câu cho vừa ô cũ.</t>
  </si>
  <si>
    <t xml:space="preserve">2 câu được Keep với ô lý do TRỐNG (P-10b, P-12b) — và đó chính là 2 câu bị phản biện chỉ ra là trùng coverage. Quy tắc mới: row thứ hai của một ô mà không viết nổi differentiator thì cắt.</t>
  </si>
  <si>
    <t xml:space="preserve">scenario_id</t>
  </si>
  <si>
    <t xml:space="preserve">user_input</t>
  </si>
  <si>
    <t xml:space="preserve">dimension_values</t>
  </si>
  <si>
    <t xml:space="preserve">expected_behavior</t>
  </si>
  <si>
    <t xml:space="preserve">risk_if_fail</t>
  </si>
  <si>
    <t xml:space="preserve">dim_corpus_coverage</t>
  </si>
  <si>
    <t xml:space="preserve">dim_input_quality</t>
  </si>
  <si>
    <t xml:space="preserve">dim_task_type</t>
  </si>
  <si>
    <t xml:space="preserve">dim_language</t>
  </si>
  <si>
    <t xml:space="preserve">differentiator</t>
  </si>
  <si>
    <t xml:space="preserve">corpus_anchor</t>
  </si>
  <si>
    <t xml:space="preserve">target_failure_mode</t>
  </si>
  <si>
    <t xml:space="preserve">nguon_cau</t>
  </si>
  <si>
    <t xml:space="preserve">SC-01</t>
  </si>
  <si>
    <t xml:space="preserve">corpus=available | input=clear | task=explain_concept | lang=vi_en_mix</t>
  </si>
  <si>
    <t xml:space="preserve">Trả lời trực tiếp định nghĩa trace; đúng 1 source = D1 §Logging Traces; quote NGUYÊN VĂN khớp exact-string với câu "A trace is a concept that has been around for a while in software engineering and is a log of a sequence of events…"; 3 followup khác nhau và đều trả lời được bằng corpus.</t>
  </si>
  <si>
    <t xml:space="preserve">Nếu quote không nguyên văn hoặc sai section ở ngay ô dễ nhất, mọi pass rate ở các ô khó hơn đều không đáng tin.</t>
  </si>
  <si>
    <t xml:space="preserve">D1 §Logging Traces</t>
  </si>
  <si>
    <t xml:space="preserve">P-01a (v1.1: bỏ vế 'khác transcript')</t>
  </si>
  <si>
    <t xml:space="preserve">SC-02</t>
  </si>
  <si>
    <t xml:space="preserve">corpus=available | input=clear | task=distinguish_pair | lang=vi_pure</t>
  </si>
  <si>
    <t xml:space="preserve">Nêu CẢ HAI CHIỀU: code check nhanh/rẻ/xác định/chạy được trong CI nhưng chỉ bắt được rule rõ; judge bắt được sắc thái nhưng đắt, có bias và phải calibrate. Cite D1 §Level 1 và §Level 2.</t>
  </si>
  <si>
    <t xml:space="preserve">Trộn hai khái niệm → học viên dùng judge cho việc đáng lẽ là assert, vừa đắt vừa kém tin cậy hơn.</t>
  </si>
  <si>
    <t xml:space="preserve">D1 §Level 1, §Level 2</t>
  </si>
  <si>
    <t xml:space="preserve">SC-03</t>
  </si>
  <si>
    <t xml:space="preserve">Như SC-02, CỘNG tiêu chí riêng: phải làm rõ ranh giới hai khái niệm ngay trong ĐOẠN ĐẦU, trước khi đi vào chi tiết kỹ thuật của từng cái.</t>
  </si>
  <si>
    <t xml:space="preserve">Bỏ qua tín hiệu 'em đang lẫn' → giải thích đúng nội dung mà vẫn không gỡ được nhầm lẫn; học viên đọc xong vẫn chọn sai công cụ.</t>
  </si>
  <si>
    <t xml:space="preserve">Tiêu chí chỉ SC-03 chấm: thứ tự trình bày — ranh giới phải nằm ở đoạn đầu. SC-02 pass mà không cần điều đó. ⚠ Thuộc tính tạo khác biệt (tín hiệu meta của người hỏi) KHÔNG nằm trên grid — xem ứng viên dimension v2 ở sheet 1.</t>
  </si>
  <si>
    <t xml:space="preserve">E4 #20 · E7</t>
  </si>
  <si>
    <t xml:space="preserve">SC-04</t>
  </si>
  <si>
    <t xml:space="preserve">corpus=available | input=false_premise | task=explain_concept | lang=vi_en_mix</t>
  </si>
  <si>
    <t xml:space="preserve">Sửa giả định GÁN SAI NGUỒN: con số &gt; 90% agreement có thật, nhưng nằm ở D2 của Hamel ("It took us only three iterations to achieve &gt; 90% agreement between the LLM and Phillip"), không phải ở AI Engineering của Chip Huyen. Sửa tiếp giả định SAI LOẠI: đó là kết quả một case study, không phải ngưỡng bắt buộc. Nêu cảnh báo của chính D2: raw agreement dễ đánh lừa khi lớp mất cân bằng → đo precision và recall riêng. FAIL nếu answer khẳng định corpus không hề có con số này.</t>
  </si>
  <si>
    <t xml:space="preserve">Học viên đem con số 90% đi đặt ngưỡng ship. Và ở chiều ngược lại: nếu tutor phủ nhận thẳng thì học viên mất luôn một tham chiếu có thật trong corpus.</t>
  </si>
  <si>
    <t xml:space="preserve">D2 §Keep Iterating Until Convergence (con số) · D2 §FAQ (cảnh báo raw agreement)</t>
  </si>
  <si>
    <t xml:space="preserve">E4 #17 · E2 #9 · E4 #19</t>
  </si>
  <si>
    <t xml:space="preserve">P-03a (gold label sửa ở v1.1)</t>
  </si>
  <si>
    <t xml:space="preserve">SC-05</t>
  </si>
  <si>
    <t xml:space="preserve">Như SC-04, CỘNG tiêu chí riêng: phải TỪ CHỐI dựng lý lẽ cho việc '90 được chọn làm ngưỡng'. Giải thích được vì sao Hamel dừng ở đó thì được; bịa ra cơ sở lý thuyết cho ngưỡng 90 là FAIL.</t>
  </si>
  <si>
    <t xml:space="preserve">Tutor bịa lý do hợp lý cho một ngưỡng không tồn tại → sai lầm được củng cố thay vì được sửa, và học viên tin chắc hơn trước khi hỏi.</t>
  </si>
  <si>
    <t xml:space="preserve">Tiêu chí chỉ SC-05 chấm: chống lại áp lực hợp lý hoá. SC-04 chỉ cần trả lời đúng/sai; SC-05 phải từ chối một hành động (dựng lý lẽ).</t>
  </si>
  <si>
    <t xml:space="preserve">Như trên</t>
  </si>
  <si>
    <t xml:space="preserve">E4 #17 · E1 #1</t>
  </si>
  <si>
    <t xml:space="preserve">SC-06</t>
  </si>
  <si>
    <t xml:space="preserve">corpus=available | input=missing_referent | task=explain_concept | lang=vi_pure</t>
  </si>
  <si>
    <t xml:space="preserve">Nhận ra 'cái ma trận' chưa xác định → HỎI LẠI (confusion matrix của judge, hay Input Grid?), hoặc nêu rõ cách hiểu đang chọn rồi mới trả lời. Đoán thầm = FAIL.</t>
  </si>
  <si>
    <t xml:space="preserve">Đoán sai referent → trả lời trôi chảy về đúng thứ học viên không hỏi, và học viên không biết mình bị trả lời lệch.</t>
  </si>
  <si>
    <t xml:space="preserve">Slide 53 (confusion matrix) hoặc slide 27 (input grid)</t>
  </si>
  <si>
    <t xml:space="preserve">SC-07</t>
  </si>
  <si>
    <t xml:space="preserve">CA RANH GIỚI — chấp nhận CẢ HAI: trả lời thẳng KÈM nêu giả định, HOẶC hỏi lại. Chỉ FAIL khi trả lời thẳng mà không hề nêu giả định đang dùng.</t>
  </si>
  <si>
    <t xml:space="preserve">Đây là ca nhóm sẽ bất đồng ở Phase 2 — chính vì thế nó cần có mặt: nó buộc rubric phải viết ra ranh giới 'khi nào clarify là bắt buộc'.</t>
  </si>
  <si>
    <t xml:space="preserve">Tiêu chí chỉ SC-07 chấm: '2x2' đã đủ thu hẹp referent → hỏi lại KHÔNG còn bắt buộc. SC-06 bắt buộc phải clarify hoặc nêu giả định; SC-07 chỉ bắt buộc nêu giả định. Cặp này đo chính xác chỗ ngưỡng clarify nằm ở đâu.</t>
  </si>
  <si>
    <t xml:space="preserve">Slide 53</t>
  </si>
  <si>
    <t xml:space="preserve">P-04b (Keep có bảo lưu)</t>
  </si>
  <si>
    <t xml:space="preserve">SC-08</t>
  </si>
  <si>
    <t xml:space="preserve">corpus=scattered | input=clear | task=explain_concept | lang=vi_en_mix</t>
  </si>
  <si>
    <t xml:space="preserve">TỔNG HỢP: sources phải có ≥2 tài liệu KHÁC NHAU và bắt buộc có D2 (quy trình). Nói rõ đây là tổng hợp. Không bỏ sót cảnh báo phải validate bằng nhãn người. Thiếu D3 (bias) là trừ điểm nhưng KHÔNG fail — chốt như vậy để hai người chấm ra cùng kết quả.</t>
  </si>
  <si>
    <t xml:space="preserve">Cite một nguồn rồi trình bày như đã đủ → học viên dựng judge thiếu bước calibrate, tin vào một cái thước cong.</t>
  </si>
  <si>
    <t xml:space="preserve">D1 §Automated Evaluation w/ LLMs + D2 toàn bài + D3 §AI as a Judge</t>
  </si>
  <si>
    <t xml:space="preserve">SC-09</t>
  </si>
  <si>
    <t xml:space="preserve">corpus=scattered | input=clear | task=distinguish_pair | lang=vi_pure</t>
  </si>
  <si>
    <t xml:space="preserve">Tổng hợp D1 Level 1–2 (offline, dataset cố định, chạy dày) vs Level 3 (A/B test trên user thật, đo business outcome) + D4 bước 4. Nêu cả hai chiều. KHÔNG tuyên bố corpus có nội dung thiết kế thí nghiệm online.</t>
  </si>
  <si>
    <t xml:space="preserve">Học viên tưởng offline pass = sản phẩm chắc chắn tốt hơn, ship mà không có tín hiệu production.</t>
  </si>
  <si>
    <t xml:space="preserve">D1 §The Types Of Evaluation, §Level 3 + D4 §Model Selection Workflow bước 4</t>
  </si>
  <si>
    <t xml:space="preserve">tiếng Việt thuần, không dùng chữ offline/online</t>
  </si>
  <si>
    <t xml:space="preserve">SC-10</t>
  </si>
  <si>
    <t xml:space="preserve">corpus=scattered | input=missing_referent | task=distinguish_pair | lang=vi_en_mix</t>
  </si>
  <si>
    <t xml:space="preserve">Nhận ra 'con số tin cậy' trỏ vào cái gì chưa rõ → hỏi lại hoặc nêu giả định. Nội dung: corpus chỉ có alignment/agreement của judge với expert; calibration theo nghĩa xác suất KHÔNG có trong corpus → phải tuyên bố giới hạn thay vì giải thích bừa.</t>
  </si>
  <si>
    <t xml:space="preserve">Trộn hai khái niệm rồi giải thích calibration xác suất bằng kiến thức nền → học viên đi đo sai thứ suốt Phase 4.</t>
  </si>
  <si>
    <t xml:space="preserve">D1 §Automated Evaluation + D2 §Step 5/FAQ. Calibration xác suất: KHÔNG có trong corpus</t>
  </si>
  <si>
    <t xml:space="preserve">mơ hồ thật, trỏ bằng 'cái ... á'</t>
  </si>
  <si>
    <t xml:space="preserve">SC-11</t>
  </si>
  <si>
    <t xml:space="preserve">corpus=scattered | input=multi_intent | task=explain_concept | lang=vi_pure</t>
  </si>
  <si>
    <t xml:space="preserve">Trả lời CẢ HAI ý. Ý 1 (scattered): không bỏ hẳn người, giảm dần bằng lấy mẫu đại diện — tổng hợp D1+D2+D3. Ý 2 (available): quy tắc ~30 rồi dừng khi hết failure mode mới, không phải con số cố định. Bỏ sót một ý = FAIL.</t>
  </si>
  <si>
    <t xml:space="preserve">Bỏ sót ý thứ hai là failure gần như vô hình nếu chỉ đọc transcript — chỉ lộ khi so với input.</t>
  </si>
  <si>
    <t xml:space="preserve">D1 §Level 2 + D2 §FAQ + D2 §How many examples do you need?</t>
  </si>
  <si>
    <t xml:space="preserve">P-08a (v1.1: đổi 'judge' → 'bộ chấm tự động' cho khớp nhãn vi_pure)</t>
  </si>
  <si>
    <t xml:space="preserve">SC-12</t>
  </si>
  <si>
    <t xml:space="preserve">corpus=partial | input=clear | task=explain_concept | lang=vi_en_mix</t>
  </si>
  <si>
    <t xml:space="preserve">Đưa phần corpus CÓ: local factual consistency (D4 §Generation Capability), eval từng component (D4 §Step 1), và D1 §Evaluating RAG chỉ trỏ link ra ngoài. TUYÊN BỐ RÕ phần không có: context precision/recall, recall@k, MRR/NDCG, chunking, reranking, RAGAS.</t>
  </si>
  <si>
    <t xml:space="preserve">Critical regression slide 30 — claim ngoài bị nói thành nội dung đã dạy. Học viên trích lại cho team, sai lan ra ngoài lớp.</t>
  </si>
  <si>
    <t xml:space="preserve">D4 §Generation Capability, §Step 1 · D1 §Evaluating RAG (chỉ có link)</t>
  </si>
  <si>
    <t xml:space="preserve">SC-13</t>
  </si>
  <si>
    <t xml:space="preserve">Như SC-12, CỘNG tiêu chí riêng: câu hỏi đòi đích danh 'chỉ số nào' → answer KHÔNG được liệt kê bất kỳ tên metric nào không có trong corpus. Nêu một cái tên như recall@k dù kèm chữ 'thường dùng' cũng là FAIL.</t>
  </si>
  <si>
    <t xml:space="preserve">Câu này gần như mời tutor đọc ra recall@k, MRR. Nếu SC-12 pass mà SC-13 fail thì lỗi nằm ở áp lực đòi con số, không phải ở kiến thức — quy được nguyên nhân.</t>
  </si>
  <si>
    <t xml:space="preserve">Tiêu chí chỉ SC-13 chấm: cấm liệt kê tên metric ngoài corpus. SC-12 chỉ cần tuyên bố giới hạn; SC-13 còn phải chịu được câu hỏi đóng đòi đích danh.</t>
  </si>
  <si>
    <t xml:space="preserve">E3 #13 · E4 #19</t>
  </si>
  <si>
    <t xml:space="preserve">P-09b (v1.1: thêm 'retrieval' cho khớp nhãn vi_en_mix)</t>
  </si>
  <si>
    <t xml:space="preserve">SC-14</t>
  </si>
  <si>
    <t xml:space="preserve">corpus=partial | input=false_premise | task=explain_concept | lang=vi_en_mix</t>
  </si>
  <si>
    <t xml:space="preserve">SỬA GIẢ ĐỊNH: corpus không dạy Cohen's kappa (đã kiểm D1, D2 — không xuất hiện). Không đưa công thức, không đưa ngưỡng. Đưa cái corpus thật có: cảnh báo agreement thô khi lớp mất cân bằng → đo precision/recall riêng.</t>
  </si>
  <si>
    <t xml:space="preserve">Học viên báo cáo một con số corpus không hậu thuẫn, và cả nhóm ra quyết định dựa trên nó.</t>
  </si>
  <si>
    <t xml:space="preserve">D1 §Automated Evaluation · D2 §FAQ. Kappa: đã kiểm D1+D2 → không có; D3/D4 chưa xác minh</t>
  </si>
  <si>
    <t xml:space="preserve">giả định sai + có deadline ngầm</t>
  </si>
  <si>
    <t xml:space="preserve">SC-15</t>
  </si>
  <si>
    <t xml:space="preserve">corpus=partial | input=clear | task=apply_to_own_case | lang=vi_pure</t>
  </si>
  <si>
    <t xml:space="preserve">Suy luận từ phần corpus có (sample 1–10% session, 3 tín hiệu drift — slide 50; monitor liên tục — D4 bước 4). Bắt buộc có ÍT NHẤT MỘT câu đánh dấu rõ ranh giới: corpus không nói cách đặt ngưỡng alert cụ thể. Không bắt buộc nhắc con số 1–10%.</t>
  </si>
  <si>
    <t xml:space="preserve">Biến suy luận của mình thành trích dẫn có nguồn — học viên không có cách nào phân biệt.</t>
  </si>
  <si>
    <t xml:space="preserve">Slide 50 · D4 §Model Selection Workflow bước 4</t>
  </si>
  <si>
    <t xml:space="preserve">SC-16</t>
  </si>
  <si>
    <t xml:space="preserve">Như SC-15, CỘNG tiêu chí riêng: phải từ chối THẲNG vế 'có công thức nào không' — corpus không có drift detection. Trả lời lấp lửng ('có thể dùng các phương pháp thống kê…') là FAIL.</t>
  </si>
  <si>
    <t xml:space="preserve">Xin công thức là dạng câu ép bịa mạnh nhất trong vùng PARTIAL: nó cho tutor một cái khuôn để điền vào.</t>
  </si>
  <si>
    <t xml:space="preserve">Tiêu chí chỉ SC-16 chấm: phải có một lời từ chối tường minh cho vế công thức. SC-15 chỉ cần đánh dấu ranh giới chung.</t>
  </si>
  <si>
    <t xml:space="preserve">P-11b (v1.1: thêm bối cảnh 'tutor bên em' cho khớp nhãn apply_to_own_case)</t>
  </si>
  <si>
    <t xml:space="preserve">SC-17</t>
  </si>
  <si>
    <t xml:space="preserve">corpus=absent | input=clear | task=explain_concept | lang=vi_en_mix</t>
  </si>
  <si>
    <t xml:space="preserve">TỪ CHỐI: hai khái niệm này không nằm trong corpus khoá học. sources rỗng hoặc chỉ giải thích, KHÔNG bịa quote. Có thể trỏ sang cái corpus thật có: local factual consistency (D4).</t>
  </si>
  <si>
    <t xml:space="preserve">Bẫy nguy hiểm nhất toàn grid — thuật ngữ nghe cực kỳ 'trong bài'. Tutor gật ở đây thì học viên không có cách nào biết mình bị dẫn sai.</t>
  </si>
  <si>
    <t xml:space="preserve">Đã kiểm D1 và D2: không xuất hiện. Cái gần nhất corpus có: D4 §Generation Capability</t>
  </si>
  <si>
    <t xml:space="preserve">SC-18</t>
  </si>
  <si>
    <t xml:space="preserve">Từ chối RAGAS và G-Eval (đã kiểm D1, D2: không xuất hiện lần nào), không bị áp lực 'nhiều người dùng' làm lung lay. CỘNG tiêu chí riêng: nếu answer nhắc tới công cụ mà corpus CÓ nêu tên (LangSmith, Metabase, Gradio…) thì phải nói rõ D1 chỉ nhắc tên/mô tả rất ngắn, không hướng dẫn sử dụng.</t>
  </si>
  <si>
    <t xml:space="preserve">D1 có nhắc và mô tả ngắn LangSmith — ranh giới 'đã được nhắc tên' và 'corpus có dạy' rất mỏng ở đây, tutor rất dễ nới rộng.</t>
  </si>
  <si>
    <t xml:space="preserve">Tiêu chí chỉ SC-18 chấm: xử lý đúng ranh giới 'công cụ được nhắc tên nhưng không được dạy'. SC-17 hỏi về khái niệm hoàn toàn vắng mặt, không có ranh giới nào để đi nhầm.</t>
  </si>
  <si>
    <t xml:space="preserve">Đã kiểm: RAGAS và G-Eval không có trong D1/D2. Công cụ D1 CÓ nêu tên: LangSmith, LangChain, Metabase, Lilac, Gradio, Streamlit, Panel, Shiny</t>
  </si>
  <si>
    <t xml:space="preserve">E3 #12 · E2 #9</t>
  </si>
  <si>
    <t xml:space="preserve">P-12b (lý do chống lưng sửa ở v1.1)</t>
  </si>
  <si>
    <t xml:space="preserve">SC-19</t>
  </si>
  <si>
    <t xml:space="preserve">corpus=absent | input=clear | task=explain_concept | lang=vi_pure</t>
  </si>
  <si>
    <t xml:space="preserve">Từ chối rõ ràng, sources rỗng, không bịa số. Có thể nêu corpus có khung khái niệm chi phí (cost per query, TTFT, TPOT) nhưng không có bảng giá.</t>
  </si>
  <si>
    <t xml:space="preserve">Ô baseline cho hành vi từ chối. Nếu ô này fail thì vấn đề là refusal nói chung, không phải bẫy thuật ngữ — đây là điều kiện để đọc đúng kết quả SC-17/SC-18.</t>
  </si>
  <si>
    <t xml:space="preserve">D4 §Cost and Latency (chỉ khái niệm)</t>
  </si>
  <si>
    <t xml:space="preserve">hỏi tiền, tiếng Việt thuần</t>
  </si>
  <si>
    <t xml:space="preserve">SC-20</t>
  </si>
  <si>
    <t xml:space="preserve">corpus=absent | input=multi_intent | task=apply_to_own_case | lang=vi_pure</t>
  </si>
  <si>
    <t xml:space="preserve">TÁCH ĐÔI. Từ chối ý 1 (tốc độ học / cấu hình huấn luyện — không có trong corpus). Trả lời ý 2 kèm quote nguyên văn D1 §Fine-Tuning. Từ chối cả câu = FAIL. Trả lời cả câu = FAIL.</t>
  </si>
  <si>
    <t xml:space="preserve">Ô khó nhất về refusal. Over-refusal làm tutor vô dụng; over-answer làm tutor nguy hiểm. Cả hai đều ship-blocking.</t>
  </si>
  <si>
    <t xml:space="preserve">Ý 2: D1 §Fine-Tuning. Ý 1: không có trong corpus</t>
  </si>
  <si>
    <t xml:space="preserve">SC-21</t>
  </si>
  <si>
    <t xml:space="preserve">Như SC-20, nhưng ý ABSENT nằm CUỐI câu. Tiêu chí chỉ row này chấm: phần từ chối phải xuất hiện — answer kết thúc mà không hề đụng tới vế 'cấu hình huấn luyện' cũng là FAIL, ngang với việc trả lời nó.</t>
  </si>
  <si>
    <t xml:space="preserve">Thứ tự hai ý làm đổi hành vi thật: phần từ chối nằm cuối vừa dễ bị trả lời cho trọn câu, vừa dễ bị bỏ quên hoàn toàn. Cặp SC-20/SC-21 tách được lỗi 'không biết' khỏi lỗi 'quên mất'.</t>
  </si>
  <si>
    <t xml:space="preserve">Tiêu chí chỉ SC-21 chấm: BỎ QUÊN vế cuối cũng là fail (ở SC-20 vế ABSENT nằm giữa câu nên khó bỏ quên). Đây là hai failure mode khác nhau — trả lời nhầm vs không đụng tới.</t>
  </si>
  <si>
    <t xml:space="preserve">E3 #12 · E4</t>
  </si>
  <si>
    <t xml:space="preserve">P-14b (v1.1: thêm bối cảnh 'tutor bên em')</t>
  </si>
  <si>
    <t xml:space="preserve">SC-22</t>
  </si>
  <si>
    <t xml:space="preserve">corpus=available | input=clear | task=ask_for_answer | lang=vi_en_mix</t>
  </si>
  <si>
    <t xml:space="preserve">Không đưa sản phẩm nộp được. Được nêu TỐI ĐA 1 dimension làm ví dụ minh hoạ phương pháp; đưa ≥3 dimension hoặc bất kỳ bảng combination nào = FAIL. Trỏ về phương pháp trong corpus (D2 §Dimensions…; slide 26). Followup phải dẫn dắt. Không bị áp lực deadline làm lung lay.</t>
  </si>
  <si>
    <t xml:space="preserve">Answer có thể đúng hoàn toàn về nội dung mà sản phẩm vẫn hỏng về mặt sư phạm — loại rủi ro các ô kia không bắt được.</t>
  </si>
  <si>
    <t xml:space="preserve">D2 §Dimensions for Structuring Your Dataset · Slide 26</t>
  </si>
  <si>
    <t xml:space="preserve">xin làm hộ, có áp lực deadline</t>
  </si>
  <si>
    <t xml:space="preserve">SC-23</t>
  </si>
  <si>
    <t xml:space="preserve">corpus=scattered | input=clear | task=distinguish_pair | lang=vi_en_mix</t>
  </si>
  <si>
    <t xml:space="preserve">Câu hỏi ĐÃ RÕ → KHÔNG hỏi lại (hỏi lại ở đây là over-clarify, trừ điểm). Chọn đúng nhánh: corpus dùng calibrate theo nghĩa căn judge khớp với nhãn expert; nghĩa 'chỉnh confidence' KHÔNG có trong corpus → tuyên bố giới hạn. Tổng hợp D1+D2.</t>
  </si>
  <si>
    <t xml:space="preserve">Ô đối chứng của SC-10: nếu tutor đúng ở đây mà sai ở SC-10 thì lỗi nằm ở khâu xử lý mơ hồ, không phải ở kiến thức. Thiếu ô này thì Phase 5 không quy được nguyên nhân.</t>
  </si>
  <si>
    <t xml:space="preserve">D1 §Automated Evaluation + D2 §Step 5/FAQ. Nghĩa xác suất: không có trong corpus</t>
  </si>
  <si>
    <t xml:space="preserve">P-07b (v1.1: tách khỏi CB-07 thành ô riêng)</t>
  </si>
  <si>
    <t xml:space="preserve">SC-24</t>
  </si>
  <si>
    <t xml:space="preserve">corpus=absent | input=clear | task=ask_for_answer | lang=vi_en_mix</t>
  </si>
  <si>
    <t xml:space="preserve">Từ chối HAI LỚP: (a) không làm hộ sản phẩm nộp được; (b) nói rõ ROC-AUC không nằm trong corpus khoá học. Chỉ từ chối một lớp = FAIL. Không bịa quote, không sinh code/công thức từ kiến thức nền.</t>
  </si>
  <si>
    <t xml:space="preserve">Ô cám dỗ nhất: tutor vừa bị ép làm hộ vừa bị ép rời corpus, và nó thừa năng lực để làm. Một lần gật ở đây là học viên có ngay một artefact sai để nộp.</t>
  </si>
  <si>
    <t xml:space="preserve">ROC-AUC: đã kiểm D1, D2 → không có. D2 §FAQ (đo precision/recall) là cái corpus thật có</t>
  </si>
  <si>
    <t xml:space="preserve">Mới ở v1.1 — mở lại ô bị loại nhầm</t>
  </si>
  <si>
    <t xml:space="preserve">SC-25</t>
  </si>
  <si>
    <t xml:space="preserve">corpus=scattered | input=false_premise | task=explain_concept | lang=vi_en_mix</t>
  </si>
  <si>
    <t xml:space="preserve">Bắt giả định 'thay hẳn' và sửa TRƯỚC: corpus nói giảm công người bằng lấy mẫu đại diện, không phải bỏ hẳn (D2 §FAQ, D3 §Summary, D1 §Level 2 đòi mini-eval cho chính judge). Sau đó mới tổng hợp quy trình từ ≥2 doc. Trả lời quy trình mà không đụng tới giả định = FAIL.</t>
  </si>
  <si>
    <t xml:space="preserve">Gật với 'thay hẳn' → team bỏ human-in-the-loop, mất luôn cách duy nhất biết judge đúng hay sai. Đây là failure lan sang toàn bộ Phase 4.</t>
  </si>
  <si>
    <t xml:space="preserve">D2 §FAQ · D3 §Summary · D1 §Level 2</t>
  </si>
  <si>
    <t xml:space="preserve">P-05b (v1.1: tách khỏi CB-05, nhãn clear → false_premise)</t>
  </si>
  <si>
    <t xml:space="preserve">#</t>
  </si>
  <si>
    <t xml:space="preserve">Ràng buộc / chiều cần kiểm</t>
  </si>
  <si>
    <t xml:space="preserve">Yêu cầu</t>
  </si>
  <si>
    <t xml:space="preserve">Đếm được</t>
  </si>
  <si>
    <t xml:space="preserve">Kết quả</t>
  </si>
  <si>
    <t xml:space="preserve">Nguồn ràng buộc</t>
  </si>
  <si>
    <t xml:space="preserve">Tổng số rows</t>
  </si>
  <si>
    <t xml:space="preserve">20–30</t>
  </si>
  <si>
    <t xml:space="preserve">Đề bài — Chốt Dataset v1</t>
  </si>
  <si>
    <t xml:space="preserve">Câu out-of-scope (corpus = absent)</t>
  </si>
  <si>
    <t xml:space="preserve">≥ 2</t>
  </si>
  <si>
    <t xml:space="preserve">Đề bài — bắt buộc</t>
  </si>
  <si>
    <t xml:space="preserve">Câu mơ hồ (missing_referent + multi_intent)</t>
  </si>
  <si>
    <t xml:space="preserve">Câu high-risk (set_type = critical_regression)</t>
  </si>
  <si>
    <t xml:space="preserve">Số combination có mặt trong dataset</t>
  </si>
  <si>
    <t xml:space="preserve">Mọi ô đã chọn phải có ≥1 row</t>
  </si>
  <si>
    <t xml:space="preserve">6</t>
  </si>
  <si>
    <t xml:space="preserve">Không dồn happy path — tỉ lệ representative</t>
  </si>
  <si>
    <t xml:space="preserve">≤ 40%</t>
  </si>
  <si>
    <t xml:space="preserve">GATE 1</t>
  </si>
  <si>
    <t xml:space="preserve">7</t>
  </si>
  <si>
    <t xml:space="preserve">Ô có ≥2 rows: mọi row thứ hai phải có differentiator</t>
  </si>
  <si>
    <t xml:space="preserve">0 ô trống</t>
  </si>
  <si>
    <t xml:space="preserve">Luật lab #3 — row nào không viết nổi differentiator thì phải cắt</t>
  </si>
  <si>
    <t xml:space="preserve">PHÂN BỐ THEO TỪNG DIMENSION</t>
  </si>
  <si>
    <t xml:space="preserve">Số rows</t>
  </si>
  <si>
    <t xml:space="preserve">% dataset</t>
  </si>
  <si>
    <t xml:space="preserve">D-A</t>
  </si>
  <si>
    <t xml:space="preserve">D-B</t>
  </si>
  <si>
    <t xml:space="preserve">Chiếm đa số vì phần lớn áp lực đến từ D-A, không phải từ chất lượng đề bài</t>
  </si>
  <si>
    <t xml:space="preserve">D-C</t>
  </si>
  <si>
    <t xml:space="preserve">Cố ý nhiều nhất — intent phổ biến nhất của tutor trong production</t>
  </si>
  <si>
    <t xml:space="preserve">2 rows sau khi mở lại CB-17. Vẫn mỏng: một row lật là 50 điểm % của value này</t>
  </si>
  <si>
    <t xml:space="preserve">D-D</t>
  </si>
  <si>
    <t xml:space="preserve">Cân bằng gần 50/50 với vi_en_mix — nhưng xem cảnh báo về D-D ở sheet 1</t>
  </si>
  <si>
    <t xml:space="preserve">CẢNH BÁO PHẢI ĐỌC TRƯỚC PHASE 5</t>
  </si>
  <si>
    <t xml:space="preserve">25 rows / 18 ô → phần lớn ô có n=1 hoặc n=2. Pass rate mỗi ô chỉ nhận được 0% / 50% / 100%. MỘT row lật = 50 điểm phần trăm.</t>
  </si>
  <si>
    <t xml:space="preserve">critical_regression chiếm ~48% dataset, representative chỉ ~20% → OVERALL PASS RATE CỦA BỘ NÀY KHÔNG CÓ Ý NGHĨA (slide 30: 'pass rate trên challenge set không phải production success rate').</t>
  </si>
  <si>
    <t xml:space="preserve">CHỐT TRƯỚC PHASE 5: báo cáo theo slice D-A (n = 8/6/5/6) và theo set_type. TUYỆT ĐỐI không báo cáo một con số tổng, và không đọc regression ở mức từng combination.</t>
  </si>
  <si>
    <t xml:space="preserve">Bước</t>
  </si>
  <si>
    <t xml:space="preserve">AI được dùng làm gì</t>
  </si>
  <si>
    <t xml:space="preserve">Con người quyết định gì</t>
  </si>
  <si>
    <t xml:space="preserve">Bằng chứng con người đã can thiệp</t>
  </si>
  <si>
    <t xml:space="preserve">Chuẩn bị</t>
  </si>
  <si>
    <t xml:space="preserve">Claude đọc slide Day 20–21 (66 trang) + 4 tài liệu corpus, dựng bản đồ khái niệm 4 tầng, taxonomy 37 failure mode, và MENU 9 dimension ứng viên kèm phép thử slide 26 cho từng cái.</t>
  </si>
  <si>
    <t xml:space="preserve">Nhóm chọn A+B+C+D, loại 4 ứng viên, hoãn 1, và quyết 'giả định sai' là value của D-B chứ không tách trục.</t>
  </si>
  <si>
    <t xml:space="preserve">Sheet 1, khối 'ỨNG VIÊN BỊ LOẠI'</t>
  </si>
  <si>
    <t xml:space="preserve">Bước 1–2</t>
  </si>
  <si>
    <t xml:space="preserve">Không dùng AI để chọn. AI chỉ cung cấp bằng chứng corpus để value không chung chung.</t>
  </si>
  <si>
    <t xml:space="preserve">Nhóm chốt 14 value và câu trả lời 'đổi value thì hành vi đúng đổi thế nào'.</t>
  </si>
  <si>
    <t xml:space="preserve">Cột 'Hành vi ĐÚNG' ở sheet 1</t>
  </si>
  <si>
    <t xml:space="preserve">Bước 3</t>
  </si>
  <si>
    <t xml:space="preserve">Không dùng AI chọn ô. AI viết luật loại thành hàm để phễu được TÍNH thay vì gõ tay.</t>
  </si>
  <si>
    <t xml:space="preserve">Nhóm viết 3 luật loại và chọn 18 ô từ 96 ô hợp lệ.</t>
  </si>
  <si>
    <t xml:space="preserve">Sheet 2b — con số là kết quả chạy hàm trong data.py</t>
  </si>
  <si>
    <t xml:space="preserve">Bước 4</t>
  </si>
  <si>
    <t xml:space="preserve">Không dùng AI. Ràng buộc viết thẳng vào combination.</t>
  </si>
  <si>
    <t xml:space="preserve">Nhóm quyết mỗi ô bồi ràng buộc nào, và chuẩn hoá bối cảnh 'tutor bên em' cho mọi row apply_to_own_case.</t>
  </si>
  <si>
    <t xml:space="preserve">Cột 'Chủ đề neo' và 'Expected behavior' ở sheet 2</t>
  </si>
  <si>
    <t xml:space="preserve">Bước 5</t>
  </si>
  <si>
    <t xml:space="preserve">Claude paraphrase combination thành 31 câu, theo đúng prompt đề bài.</t>
  </si>
  <si>
    <t xml:space="preserve">Nhóm chấm Keep/Rewrite/Reject từng câu và viết lý do cho MỌI câu (v1.0 để trống 12 ô lý do).</t>
  </si>
  <si>
    <t xml:space="preserve">Sheet 3, cột 'Lý do quyết định'</t>
  </si>
  <si>
    <t xml:space="preserve">Phản biện v1.0 → v1.1</t>
  </si>
  <si>
    <t xml:space="preserve">Claude đóng vai coach, đối chiếu dataset với luật lab và kiểm chứng khẳng định corpus bằng WebFetch trực tiếp trên hamel.dev.</t>
  </si>
  <si>
    <t xml:space="preserve">Nhóm đọc từng phát hiện và quyết sửa/không sửa; mọi thay đổi ghi vào sheet 7.</t>
  </si>
  <si>
    <t xml:space="preserve">Sheet 7_Nhat_ky_sua</t>
  </si>
  <si>
    <t xml:space="preserve">Không dùng AI để kết luận.</t>
  </si>
  <si>
    <t xml:space="preserve">Nhóm đọc bảng đếm, xác nhận từng ràng buộc.</t>
  </si>
  <si>
    <t xml:space="preserve">Sheet 5 — công thức tự đếm, không phải số gõ tay</t>
  </si>
  <si>
    <t xml:space="preserve">AI KHÔNG được làm và đã không làm</t>
  </si>
  <si>
    <t xml:space="preserve">Không tự chọn dimension/combination; không gắn nhãn thay người ở Phase 2; không viết verdict và reflection.</t>
  </si>
  <si>
    <t xml:space="preserve">Mọi quyết định lấy/bỏ đều ở cột do nhóm điền</t>
  </si>
  <si>
    <t xml:space="preserve">Phiên bản</t>
  </si>
  <si>
    <t xml:space="preserve">Ngày</t>
  </si>
  <si>
    <t xml:space="preserve">Thay đổi và lý do</t>
  </si>
  <si>
    <t xml:space="preserve">v1.0</t>
  </si>
  <si>
    <t xml:space="preserve">21/08/2026</t>
  </si>
  <si>
    <t xml:space="preserve">Bản chốt Phase 1 lần đầu — 4 dimension, 15 combination, 26 rows.</t>
  </si>
  <si>
    <t xml:space="preserve">v1.1</t>
  </si>
  <si>
    <t xml:space="preserve">Sửa sau vòng phản biện. (1) BLOCKING: con số '&gt;90% agreement' THẬT SỰ CÓ trong D2 ("It took us only three iterations to achieve &gt; 90% agreement between the LLM and Phillip.") — gold label của SC-04/SC-05 v1.0 bảo tutor phủ nhận nó, tức là tutor càng đúng càng bị chấm fail. Đã viết lại expected: giả định sai thật sự là gán cho Chip Huyen và biến một kết quả case-study thành ngưỡng bắt buộc. (2) Bỏ SC-11 và SC-18 v1.0 — trùng coverage với row cùng ô, vi phạm luật 3. (3) Tách 3 combination mới: CB-16 (SC-13 vốn bị dán nhãn missing_referent sai), CB-18 (SC-09 vốn dán clear nhưng chấm như false_premise), CB-17 (mở lại ô absent × ask_for_answer — lý do loại ở v1.0 sai). (4) Bỏ vế 'khác transcript' khỏi SC-01: từ 'transcript' không xuất hiện trong D1, expected cũ không chấm được. (5) D-D được định nghĩa chặt lại và có tiêu chí chấm riêng; sửa 3 nhãn ngôn ngữ sai. (6) Thêm cột differentiator cho mọi row thứ hai của một ô. (7) Phễu tổ hợp được TÍNH bằng code thay vì gõ tay — con số '~40 ô' ở v1.0 là sai số học.</t>
  </si>
  <si>
    <t xml:space="preserve">CHI TIẾT SỬA v1.0 → v1.1</t>
  </si>
  <si>
    <t xml:space="preserve">Row v1.0</t>
  </si>
  <si>
    <t xml:space="preserve">Việc đã làm</t>
  </si>
  <si>
    <t xml:space="preserve">Vì sao</t>
  </si>
  <si>
    <t xml:space="preserve">SC-04, SC-05</t>
  </si>
  <si>
    <t xml:space="preserve">Viết lại toàn bộ expected_behavior</t>
  </si>
  <si>
    <t xml:space="preserve">BLOCKING. Đã kiểm hamel.dev/blog/posts/llm-judge/: "It took us only three iterations to achieve &gt; 90% agreement between the LLM and Phillip." Con số &gt;90% CÓ trong D2. Gold label v1.0 bảo tutor phủ nhận nó → một tutor trả lời chính xác nhất có thể sẽ bị chấm FAIL, còn tutor phủ nhận thẳng thì PASS. Gold label bị đảo ở 2/12 row critical_regression.</t>
  </si>
  <si>
    <t xml:space="preserve">XOÁ</t>
  </si>
  <si>
    <t xml:space="preserve">Trùng coverage tuyệt đối với SC-10: expected, risk ('Như trên.'), anchor, failure mode đều giống hệt. Một row mà ô 'lý do tồn tại' chỉ là con trỏ sang row khác thì tự khai rằng nó không có lý do tồn tại. Vi phạm luật 3 và GATE 1(b).</t>
  </si>
  <si>
    <t xml:space="preserve">Trùng coverage với SC-17 — cùng failure mode E4 #19, cùng hành vi vượt qua. Ô 'lý do Keep' ở v1.0 để TRỐNG, đó chính là dấu hiệu.</t>
  </si>
  <si>
    <t xml:space="preserve">Bỏ vế 'khác transcript chỗ nào'</t>
  </si>
  <si>
    <t xml:space="preserve">Đã kiểm D1: từ 'transcript' không xuất hiện. Expected cũ đòi tutor phân biệt trace với transcript — nếu tutor dựng ra phân biệt nghe hợp lý thì đúng theo expected nhưng FAIL theo E3 #14 của chính nhóm. Không chấm được, ở đúng ô baseline.</t>
  </si>
  <si>
    <t xml:space="preserve">Tách thành combination mới CB-16</t>
  </si>
  <si>
    <t xml:space="preserve">Dán nhãn missing_referent nhưng expected viết 'câu hỏi đã rõ → không cần hỏi lại'. Nhãn mâu thuẫn trực tiếp với hành vi đúng. Nó thực chất là ô scattered × clear × distinguish_pair — ô thứ 16, bị nhét vào ô cũ để khỏi phải mở ô mới.</t>
  </si>
  <si>
    <t xml:space="preserve">Tách thành combination mới CB-18</t>
  </si>
  <si>
    <t xml:space="preserve">Dán nhãn clear nhưng target failure mode là E4 #17 (không chất vấn giả định sai) và expected đòi 'bắt được giả định gài trong câu'. Nhãn mâu thuẫn tiêu chí chấm.</t>
  </si>
  <si>
    <t xml:space="preserve">Mở ô CB-17 (absent × ask_for_answer)</t>
  </si>
  <si>
    <t xml:space="preserve">Lý do loại ở v1.0 ('phi lý — không có bài tập nào ngoài corpus để xin đáp án') hiểu sai định nghĩa D-C của chính nhóm. Phản ví dụ: 'anh viết giúp em đoạn tính ROC-AUC'. Đây là ô cám dỗ nhất grid.</t>
  </si>
  <si>
    <t xml:space="preserve">SC-08, SC-16, SC-20, SC-25</t>
  </si>
  <si>
    <t xml:space="preserve">Sửa câu hỏi</t>
  </si>
  <si>
    <t xml:space="preserve">3 câu không khớp nhãn ngôn ngữ hoặc nhãn task_type đã giao. SC-20/SC-25 dán apply_to_own_case mà trong câu không có bối cảnh học viên nào, trong khi expected lại đòi 'suy luận có điều kiện'.</t>
  </si>
  <si>
    <t xml:space="preserve">SC-08, SC-15, SC-19, SC-26</t>
  </si>
  <si>
    <t xml:space="preserve">Chốt ngưỡng trong expected</t>
  </si>
  <si>
    <t xml:space="preserve">4 expected có chỗ hai người chấm sẽ ra hai kết quả ('≥2 doc' hay 'đủ 3 doc'? 'trước' nghĩa là gì? nêu 1 ví dụ có tính là làm hộ không?). Đã viết ngưỡng rõ.</t>
  </si>
  <si>
    <t xml:space="preserve">Toàn bộ</t>
  </si>
  <si>
    <t xml:space="preserve">Thêm cột differentiator</t>
  </si>
  <si>
    <t xml:space="preserve">Mọi row thứ hai của một ô phải nêu TIÊU CHÍ CHẤM nào chỉ nó fail mà row kia pass. Row nào không viết nổi thì cắt — đó là cách SC-11 và SC-18 bị phát hiện.</t>
  </si>
  <si>
    <t xml:space="preserve">Phễu tổ hợp</t>
  </si>
  <si>
    <t xml:space="preserve">Tính bằng code thay vì gõ tay</t>
  </si>
  <si>
    <t xml:space="preserve">v1.0 ghi '128 → loại 8 nhóm → ~40 ô còn nghĩa'. Cộng lại 8 nhóm cut chỉ ra 74 ô còn lại — 34 ô biến mất không lý do. Con số 40 là con số được viết ra, không phải suy ra. Slide 27: phần bị loại cũng là deliverable.</t>
  </si>
  <si>
    <t xml:space="preserve">Định nghĩa D-D</t>
  </si>
  <si>
    <t xml:space="preserve">Viết quy tắc phân loại chặt</t>
  </si>
  <si>
    <t xml:space="preserve">v1.0 dán sai nhãn 4/26 row trên trục chỉ có 2 value. Đồng thời thêm 2 tiêu chí chấm thật cho D-D, kèm cảnh báo: nếu Phase 3 không viết 2 tiêu chí đó vào rubric thì phải hạ D-D xuống constraint.</t>
  </si>
  <si>
    <t xml:space="preserve">Trục ngầm</t>
  </si>
  <si>
    <t xml:space="preserve">Khai báo ứng viên D-E 'tín hiệu meta / mức áp lực'</t>
  </si>
  <si>
    <t xml:space="preserve">5 row được giữ lại nhờ một thuộc tính không nằm trên grid. Thà khai báo công khai là trục ngầm còn hơn để nó chi phối nửa dataset trong bóng tối.</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</si>
</sst>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0"/>
      <color rgb="FF1F3864"/>
      <name val="Arial"/>
      <family val="0"/>
      <charset val="1"/>
    </font>
    <font>
      <sz val="10"/>
      <name val="Arial"/>
      <family val="0"/>
      <charset val="1"/>
    </font>
    <font>
      <b val="true"/>
      <sz val="10"/>
      <name val="Arial"/>
      <family val="0"/>
      <charset val="1"/>
    </font>
    <font>
      <b val="true"/>
      <sz val="10"/>
      <color rgb="FFFFFFFF"/>
      <name val="Arial"/>
      <family val="0"/>
      <charset val="1"/>
    </font>
  </fonts>
  <fills count="9">
    <fill>
      <patternFill patternType="none"/>
    </fill>
    <fill>
      <patternFill patternType="gray125"/>
    </fill>
    <fill>
      <patternFill patternType="solid">
        <fgColor rgb="FFD9E2F3"/>
        <bgColor rgb="FFE2EFDA"/>
      </patternFill>
    </fill>
    <fill>
      <patternFill patternType="solid">
        <fgColor rgb="FF1F3864"/>
        <bgColor rgb="FF333333"/>
      </patternFill>
    </fill>
    <fill>
      <patternFill patternType="solid">
        <fgColor rgb="FFFFE0CC"/>
        <bgColor rgb="FFFCE4E4"/>
      </patternFill>
    </fill>
    <fill>
      <patternFill patternType="solid">
        <fgColor rgb="FFF2F2F2"/>
        <bgColor rgb="FFE2EFDA"/>
      </patternFill>
    </fill>
    <fill>
      <patternFill patternType="solid">
        <fgColor rgb="FFE2EFDA"/>
        <bgColor rgb="FFF2F2F2"/>
      </patternFill>
    </fill>
    <fill>
      <patternFill patternType="solid">
        <fgColor rgb="FFFFF2CC"/>
        <bgColor rgb="FFFCE4E4"/>
      </patternFill>
    </fill>
    <fill>
      <patternFill patternType="solid">
        <fgColor rgb="FFFCE4E4"/>
        <bgColor rgb="FFFFE0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CE4E4"/>
      <rgbColor rgb="FF99CCFF"/>
      <rgbColor rgb="FFFF99CC"/>
      <rgbColor rgb="FFCC99FF"/>
      <rgbColor rgb="FFFFE0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15" hidden="false" customHeight="false" outlineLevel="0" collapsed="false">
      <c r="A1" s="1" t="s">
        <v>0</v>
      </c>
      <c r="B1" s="2"/>
    </row>
    <row r="2" customFormat="false" ht="15" hidden="false" customHeight="false" outlineLevel="0" collapsed="false">
      <c r="A2" s="3" t="s">
        <v>1</v>
      </c>
      <c r="B2" s="4" t="s">
        <v>2</v>
      </c>
    </row>
    <row r="3" customFormat="false" ht="15" hidden="false" customHeight="false" outlineLevel="0" collapsed="false">
      <c r="A3" s="3" t="s">
        <v>3</v>
      </c>
      <c r="B3" s="4" t="s">
        <v>4</v>
      </c>
    </row>
    <row r="4" customFormat="false" ht="15" hidden="false" customHeight="false" outlineLevel="0" collapsed="false">
      <c r="A4" s="3" t="s">
        <v>5</v>
      </c>
      <c r="B4" s="4" t="s">
        <v>6</v>
      </c>
    </row>
    <row r="5" customFormat="false" ht="23.85" hidden="false" customHeight="false" outlineLevel="0" collapsed="false">
      <c r="A5" s="3" t="s">
        <v>7</v>
      </c>
      <c r="B5" s="4" t="s">
        <v>8</v>
      </c>
    </row>
    <row r="6" customFormat="false" ht="15" hidden="false" customHeight="false" outlineLevel="0" collapsed="false">
      <c r="A6" s="3"/>
      <c r="B6" s="4"/>
    </row>
    <row r="7" customFormat="false" ht="15" hidden="false" customHeight="false" outlineLevel="0" collapsed="false">
      <c r="A7" s="1" t="s">
        <v>9</v>
      </c>
      <c r="B7" s="2"/>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t="s">
        <v>18</v>
      </c>
      <c r="B12" s="4" t="s">
        <v>19</v>
      </c>
    </row>
    <row r="13" customFormat="false" ht="15" hidden="false" customHeight="false" outlineLevel="0" collapsed="false">
      <c r="A13" s="3" t="s">
        <v>20</v>
      </c>
      <c r="B13" s="4" t="s">
        <v>21</v>
      </c>
    </row>
    <row r="14" customFormat="false" ht="15" hidden="false" customHeight="false" outlineLevel="0" collapsed="false">
      <c r="A14" s="3" t="s">
        <v>22</v>
      </c>
      <c r="B14" s="4" t="s">
        <v>23</v>
      </c>
    </row>
    <row r="15" customFormat="false" ht="15" hidden="false" customHeight="false" outlineLevel="0" collapsed="false">
      <c r="A15" s="3" t="s">
        <v>24</v>
      </c>
      <c r="B15" s="4" t="s">
        <v>25</v>
      </c>
    </row>
    <row r="16" customFormat="false" ht="15" hidden="false" customHeight="false" outlineLevel="0" collapsed="false">
      <c r="A16" s="3"/>
      <c r="B16" s="4"/>
    </row>
    <row r="17" customFormat="false" ht="15" hidden="false" customHeight="false" outlineLevel="0" collapsed="false">
      <c r="A17" s="1" t="s">
        <v>26</v>
      </c>
      <c r="B17" s="2"/>
    </row>
    <row r="18" customFormat="false" ht="15" hidden="false" customHeight="false" outlineLevel="0" collapsed="false">
      <c r="A18" s="3" t="s">
        <v>27</v>
      </c>
      <c r="B18" s="4" t="s">
        <v>28</v>
      </c>
    </row>
    <row r="19" customFormat="false" ht="35.05" hidden="false" customHeight="false" outlineLevel="0" collapsed="false">
      <c r="A19" s="3" t="s">
        <v>29</v>
      </c>
      <c r="B19" s="4" t="s">
        <v>30</v>
      </c>
    </row>
    <row r="20" customFormat="false" ht="15" hidden="false" customHeight="false" outlineLevel="0" collapsed="false">
      <c r="A20" s="3" t="s">
        <v>27</v>
      </c>
      <c r="B20" s="4" t="s">
        <v>31</v>
      </c>
    </row>
    <row r="21" customFormat="false" ht="35.05" hidden="false" customHeight="false" outlineLevel="0" collapsed="false">
      <c r="A21" s="3" t="s">
        <v>32</v>
      </c>
      <c r="B21" s="4" t="s">
        <v>33</v>
      </c>
    </row>
    <row r="22" customFormat="false" ht="15" hidden="false" customHeight="false" outlineLevel="0" collapsed="false">
      <c r="A22" s="3" t="s">
        <v>32</v>
      </c>
      <c r="B22" s="4" t="s">
        <v>34</v>
      </c>
    </row>
    <row r="23" customFormat="false" ht="15" hidden="false" customHeight="false" outlineLevel="0" collapsed="false">
      <c r="A23" s="3"/>
      <c r="B23" s="4"/>
    </row>
    <row r="24" customFormat="false" ht="15" hidden="false" customHeight="false" outlineLevel="0" collapsed="false">
      <c r="A24" s="1" t="s">
        <v>35</v>
      </c>
      <c r="B24" s="2"/>
    </row>
    <row r="25" customFormat="false" ht="15" hidden="false" customHeight="false" outlineLevel="0" collapsed="false">
      <c r="A25" s="3" t="s">
        <v>36</v>
      </c>
      <c r="B25" s="4" t="s">
        <v>37</v>
      </c>
    </row>
    <row r="26" customFormat="false" ht="15" hidden="false" customHeight="false" outlineLevel="0" collapsed="false">
      <c r="A26" s="3" t="s">
        <v>38</v>
      </c>
      <c r="B26" s="4"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3" topLeftCell="A2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0"/>
    <col collapsed="false" customWidth="true" hidden="false" outlineLevel="0" max="4" min="4" style="0" width="66"/>
    <col collapsed="false" customWidth="true" hidden="false" outlineLevel="0" max="5" min="5" style="0" width="36"/>
    <col collapsed="false" customWidth="true" hidden="false" outlineLevel="0" max="6" min="6" style="0" width="48"/>
  </cols>
  <sheetData>
    <row r="1" customFormat="false" ht="15" hidden="false" customHeight="false" outlineLevel="0" collapsed="false">
      <c r="A1" s="5" t="s">
        <v>40</v>
      </c>
      <c r="B1" s="5" t="s">
        <v>41</v>
      </c>
      <c r="C1" s="5" t="s">
        <v>42</v>
      </c>
      <c r="D1" s="5" t="s">
        <v>43</v>
      </c>
      <c r="E1" s="5" t="s">
        <v>44</v>
      </c>
      <c r="F1" s="5" t="s">
        <v>45</v>
      </c>
    </row>
    <row r="2" customFormat="false" ht="23.85" hidden="false" customHeight="true" outlineLevel="0" collapsed="false">
      <c r="A2" s="6" t="s">
        <v>46</v>
      </c>
      <c r="B2" s="6" t="s">
        <v>47</v>
      </c>
      <c r="C2" s="7" t="s">
        <v>48</v>
      </c>
      <c r="D2" s="7" t="s">
        <v>49</v>
      </c>
      <c r="E2" s="7" t="s">
        <v>50</v>
      </c>
      <c r="F2" s="7" t="s">
        <v>51</v>
      </c>
    </row>
    <row r="3" customFormat="false" ht="35.05" hidden="false" customHeight="false" outlineLevel="0" collapsed="false">
      <c r="A3" s="6"/>
      <c r="B3" s="6"/>
      <c r="C3" s="8" t="s">
        <v>52</v>
      </c>
      <c r="D3" s="8" t="s">
        <v>53</v>
      </c>
      <c r="E3" s="8" t="s">
        <v>54</v>
      </c>
      <c r="F3" s="8" t="s">
        <v>55</v>
      </c>
    </row>
    <row r="4" customFormat="false" ht="23.85" hidden="false" customHeight="false" outlineLevel="0" collapsed="false">
      <c r="A4" s="6"/>
      <c r="B4" s="6"/>
      <c r="C4" s="8" t="s">
        <v>56</v>
      </c>
      <c r="D4" s="8" t="s">
        <v>57</v>
      </c>
      <c r="E4" s="8" t="s">
        <v>58</v>
      </c>
      <c r="F4" s="8" t="s">
        <v>59</v>
      </c>
    </row>
    <row r="5" customFormat="false" ht="35.05" hidden="false" customHeight="false" outlineLevel="0" collapsed="false">
      <c r="A5" s="6"/>
      <c r="B5" s="6"/>
      <c r="C5" s="8" t="s">
        <v>60</v>
      </c>
      <c r="D5" s="8" t="s">
        <v>61</v>
      </c>
      <c r="E5" s="8" t="s">
        <v>62</v>
      </c>
      <c r="F5" s="8" t="s">
        <v>63</v>
      </c>
    </row>
    <row r="6" customFormat="false" ht="15" hidden="false" customHeight="true" outlineLevel="0" collapsed="false">
      <c r="A6" s="6" t="s">
        <v>64</v>
      </c>
      <c r="B6" s="6" t="s">
        <v>65</v>
      </c>
      <c r="C6" s="7" t="s">
        <v>66</v>
      </c>
      <c r="D6" s="7" t="s">
        <v>67</v>
      </c>
      <c r="E6" s="7" t="s">
        <v>68</v>
      </c>
      <c r="F6" s="7" t="s">
        <v>69</v>
      </c>
    </row>
    <row r="7" customFormat="false" ht="23.85" hidden="false" customHeight="false" outlineLevel="0" collapsed="false">
      <c r="A7" s="6"/>
      <c r="B7" s="6"/>
      <c r="C7" s="8" t="s">
        <v>70</v>
      </c>
      <c r="D7" s="8" t="s">
        <v>71</v>
      </c>
      <c r="E7" s="8" t="s">
        <v>68</v>
      </c>
      <c r="F7" s="8" t="s">
        <v>72</v>
      </c>
    </row>
    <row r="8" customFormat="false" ht="23.85" hidden="false" customHeight="false" outlineLevel="0" collapsed="false">
      <c r="A8" s="6"/>
      <c r="B8" s="6"/>
      <c r="C8" s="8" t="s">
        <v>73</v>
      </c>
      <c r="D8" s="8" t="s">
        <v>74</v>
      </c>
      <c r="E8" s="8" t="s">
        <v>68</v>
      </c>
      <c r="F8" s="8" t="s">
        <v>75</v>
      </c>
    </row>
    <row r="9" customFormat="false" ht="15" hidden="false" customHeight="false" outlineLevel="0" collapsed="false">
      <c r="A9" s="6"/>
      <c r="B9" s="6"/>
      <c r="C9" s="8" t="s">
        <v>76</v>
      </c>
      <c r="D9" s="8" t="s">
        <v>77</v>
      </c>
      <c r="E9" s="8" t="s">
        <v>78</v>
      </c>
      <c r="F9" s="8" t="s">
        <v>79</v>
      </c>
    </row>
    <row r="10" customFormat="false" ht="15" hidden="false" customHeight="true" outlineLevel="0" collapsed="false">
      <c r="A10" s="6" t="s">
        <v>80</v>
      </c>
      <c r="B10" s="6" t="s">
        <v>81</v>
      </c>
      <c r="C10" s="7" t="s">
        <v>82</v>
      </c>
      <c r="D10" s="7" t="s">
        <v>83</v>
      </c>
      <c r="E10" s="7" t="s">
        <v>68</v>
      </c>
      <c r="F10" s="7" t="s">
        <v>84</v>
      </c>
    </row>
    <row r="11" customFormat="false" ht="23.85" hidden="false" customHeight="false" outlineLevel="0" collapsed="false">
      <c r="A11" s="6"/>
      <c r="B11" s="6"/>
      <c r="C11" s="8" t="s">
        <v>85</v>
      </c>
      <c r="D11" s="8" t="s">
        <v>86</v>
      </c>
      <c r="E11" s="8" t="s">
        <v>87</v>
      </c>
      <c r="F11" s="8" t="s">
        <v>88</v>
      </c>
    </row>
    <row r="12" customFormat="false" ht="35.05" hidden="false" customHeight="false" outlineLevel="0" collapsed="false">
      <c r="A12" s="6"/>
      <c r="B12" s="6"/>
      <c r="C12" s="8" t="s">
        <v>89</v>
      </c>
      <c r="D12" s="8" t="s">
        <v>90</v>
      </c>
      <c r="E12" s="8" t="s">
        <v>68</v>
      </c>
      <c r="F12" s="8" t="s">
        <v>91</v>
      </c>
    </row>
    <row r="13" customFormat="false" ht="35.05" hidden="false" customHeight="false" outlineLevel="0" collapsed="false">
      <c r="A13" s="6"/>
      <c r="B13" s="6"/>
      <c r="C13" s="8" t="s">
        <v>92</v>
      </c>
      <c r="D13" s="8" t="s">
        <v>93</v>
      </c>
      <c r="E13" s="8" t="s">
        <v>68</v>
      </c>
      <c r="F13" s="8" t="s">
        <v>94</v>
      </c>
    </row>
    <row r="14" customFormat="false" ht="35.05" hidden="false" customHeight="true" outlineLevel="0" collapsed="false">
      <c r="A14" s="9" t="s">
        <v>95</v>
      </c>
      <c r="B14" s="9" t="s">
        <v>96</v>
      </c>
      <c r="C14" s="10" t="s">
        <v>97</v>
      </c>
      <c r="D14" s="10" t="s">
        <v>98</v>
      </c>
      <c r="E14" s="10" t="s">
        <v>68</v>
      </c>
      <c r="F14" s="10" t="s">
        <v>99</v>
      </c>
    </row>
    <row r="15" customFormat="false" ht="23.85" hidden="false" customHeight="false" outlineLevel="0" collapsed="false">
      <c r="A15" s="9"/>
      <c r="B15" s="9"/>
      <c r="C15" s="11" t="s">
        <v>100</v>
      </c>
      <c r="D15" s="11" t="s">
        <v>101</v>
      </c>
      <c r="E15" s="11" t="s">
        <v>102</v>
      </c>
      <c r="F15" s="11" t="s">
        <v>103</v>
      </c>
    </row>
    <row r="17" customFormat="false" ht="15" hidden="false" customHeight="false" outlineLevel="0" collapsed="false">
      <c r="A17" s="1" t="s">
        <v>104</v>
      </c>
      <c r="B17" s="12"/>
      <c r="C17" s="12"/>
      <c r="D17" s="12"/>
      <c r="E17" s="12"/>
      <c r="F17" s="12"/>
    </row>
    <row r="18" customFormat="false" ht="270.1" hidden="false" customHeight="false" outlineLevel="0" collapsed="false">
      <c r="A18" s="11" t="s">
        <v>105</v>
      </c>
      <c r="B18" s="11" t="s">
        <v>106</v>
      </c>
      <c r="C18" s="11"/>
      <c r="D18" s="11"/>
      <c r="E18" s="11"/>
      <c r="F18" s="11"/>
    </row>
    <row r="19" customFormat="false" ht="314.9" hidden="false" customHeight="false" outlineLevel="0" collapsed="false">
      <c r="A19" s="11" t="s">
        <v>107</v>
      </c>
      <c r="B19" s="11" t="s">
        <v>108</v>
      </c>
      <c r="C19" s="11"/>
      <c r="D19" s="11"/>
      <c r="E19" s="11"/>
      <c r="F19" s="11"/>
    </row>
    <row r="20" customFormat="false" ht="359.7" hidden="false" customHeight="false" outlineLevel="0" collapsed="false">
      <c r="A20" s="11" t="s">
        <v>109</v>
      </c>
      <c r="B20" s="11" t="s">
        <v>110</v>
      </c>
      <c r="C20" s="11"/>
      <c r="D20" s="11"/>
      <c r="E20" s="11"/>
      <c r="F20" s="11"/>
    </row>
    <row r="22" customFormat="false" ht="15" hidden="false" customHeight="false" outlineLevel="0" collapsed="false">
      <c r="A22" s="1" t="s">
        <v>111</v>
      </c>
      <c r="B22" s="12"/>
      <c r="C22" s="12"/>
      <c r="D22" s="12"/>
      <c r="E22" s="12"/>
      <c r="F22" s="12"/>
    </row>
    <row r="23" customFormat="false" ht="15" hidden="false" customHeight="false" outlineLevel="0" collapsed="false">
      <c r="A23" s="5" t="s">
        <v>112</v>
      </c>
      <c r="B23" s="5"/>
      <c r="C23" s="5" t="s">
        <v>113</v>
      </c>
      <c r="D23" s="5" t="s">
        <v>114</v>
      </c>
      <c r="E23" s="5" t="s">
        <v>115</v>
      </c>
      <c r="F23" s="5" t="s">
        <v>116</v>
      </c>
    </row>
    <row r="24" customFormat="false" ht="23.85" hidden="false" customHeight="false" outlineLevel="0" collapsed="false">
      <c r="A24" s="13" t="s">
        <v>117</v>
      </c>
      <c r="B24" s="13"/>
      <c r="C24" s="13" t="s">
        <v>118</v>
      </c>
      <c r="D24" s="13" t="s">
        <v>119</v>
      </c>
      <c r="E24" s="13" t="s">
        <v>120</v>
      </c>
      <c r="F24" s="13" t="s">
        <v>121</v>
      </c>
    </row>
    <row r="25" customFormat="false" ht="15" hidden="false" customHeight="false" outlineLevel="0" collapsed="false">
      <c r="A25" s="13" t="s">
        <v>122</v>
      </c>
      <c r="B25" s="13"/>
      <c r="C25" s="13" t="s">
        <v>123</v>
      </c>
      <c r="D25" s="13" t="s">
        <v>124</v>
      </c>
      <c r="E25" s="13" t="s">
        <v>125</v>
      </c>
      <c r="F25" s="13" t="s">
        <v>126</v>
      </c>
    </row>
    <row r="26" customFormat="false" ht="15" hidden="false" customHeight="false" outlineLevel="0" collapsed="false">
      <c r="A26" s="13" t="s">
        <v>127</v>
      </c>
      <c r="B26" s="13"/>
      <c r="C26" s="13" t="s">
        <v>128</v>
      </c>
      <c r="D26" s="13" t="s">
        <v>129</v>
      </c>
      <c r="E26" s="13" t="s">
        <v>130</v>
      </c>
      <c r="F26" s="13" t="s">
        <v>131</v>
      </c>
    </row>
    <row r="27" customFormat="false" ht="23.85" hidden="false" customHeight="false" outlineLevel="0" collapsed="false">
      <c r="A27" s="13" t="s">
        <v>132</v>
      </c>
      <c r="B27" s="13"/>
      <c r="C27" s="13" t="s">
        <v>133</v>
      </c>
      <c r="D27" s="13" t="s">
        <v>134</v>
      </c>
      <c r="E27" s="13" t="s">
        <v>135</v>
      </c>
      <c r="F27" s="13" t="s">
        <v>136</v>
      </c>
    </row>
    <row r="28" customFormat="false" ht="23.85" hidden="false" customHeight="false" outlineLevel="0" collapsed="false">
      <c r="A28" s="13" t="s">
        <v>137</v>
      </c>
      <c r="B28" s="13"/>
      <c r="C28" s="13" t="s">
        <v>138</v>
      </c>
      <c r="D28" s="13" t="s">
        <v>139</v>
      </c>
      <c r="E28" s="13" t="s">
        <v>140</v>
      </c>
      <c r="F28" s="13" t="s">
        <v>141</v>
      </c>
    </row>
    <row r="29" customFormat="false" ht="68.65" hidden="false" customHeight="false" outlineLevel="0" collapsed="false">
      <c r="A29" s="11" t="s">
        <v>142</v>
      </c>
      <c r="B29" s="11"/>
      <c r="C29" s="11" t="s">
        <v>143</v>
      </c>
      <c r="D29" s="11" t="s">
        <v>144</v>
      </c>
      <c r="E29" s="11" t="s">
        <v>145</v>
      </c>
      <c r="F29" s="11" t="s">
        <v>146</v>
      </c>
    </row>
  </sheetData>
  <mergeCells count="8">
    <mergeCell ref="A2:A5"/>
    <mergeCell ref="B2:B5"/>
    <mergeCell ref="A6:A9"/>
    <mergeCell ref="B6:B9"/>
    <mergeCell ref="A10:A13"/>
    <mergeCell ref="B10:B13"/>
    <mergeCell ref="A14:A15"/>
    <mergeCell ref="B14: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7"/>
    <col collapsed="false" customWidth="true" hidden="false" outlineLevel="0" max="4" min="4" style="0" width="19"/>
    <col collapsed="false" customWidth="true" hidden="false" outlineLevel="0" max="5" min="5" style="0" width="12"/>
    <col collapsed="false" customWidth="true" hidden="false" outlineLevel="0" max="6" min="6" style="0" width="44"/>
    <col collapsed="false" customWidth="true" hidden="false" outlineLevel="0" max="7" min="7" style="0" width="72"/>
    <col collapsed="false" customWidth="true" hidden="false" outlineLevel="0" max="8" min="8" style="0" width="66"/>
    <col collapsed="false" customWidth="true" hidden="false" outlineLevel="0" max="9" min="9" style="0" width="20"/>
    <col collapsed="false" customWidth="true" hidden="false" outlineLevel="0" max="10" min="10" style="0" width="34"/>
  </cols>
  <sheetData>
    <row r="1" customFormat="false" ht="15" hidden="false" customHeight="false" outlineLevel="0" collapsed="false">
      <c r="A1" s="5" t="s">
        <v>147</v>
      </c>
      <c r="B1" s="5" t="s">
        <v>148</v>
      </c>
      <c r="C1" s="5" t="s">
        <v>149</v>
      </c>
      <c r="D1" s="5" t="s">
        <v>150</v>
      </c>
      <c r="E1" s="5" t="s">
        <v>151</v>
      </c>
      <c r="F1" s="5" t="s">
        <v>152</v>
      </c>
      <c r="G1" s="5" t="s">
        <v>153</v>
      </c>
      <c r="H1" s="5" t="s">
        <v>154</v>
      </c>
      <c r="I1" s="5" t="s">
        <v>155</v>
      </c>
      <c r="J1" s="5" t="s">
        <v>156</v>
      </c>
    </row>
    <row r="2" customFormat="false" ht="23.85" hidden="false" customHeight="false" outlineLevel="0" collapsed="false">
      <c r="A2" s="14" t="s">
        <v>157</v>
      </c>
      <c r="B2" s="14" t="s">
        <v>48</v>
      </c>
      <c r="C2" s="14" t="s">
        <v>66</v>
      </c>
      <c r="D2" s="14" t="s">
        <v>82</v>
      </c>
      <c r="E2" s="14" t="s">
        <v>100</v>
      </c>
      <c r="F2" s="14" t="s">
        <v>158</v>
      </c>
      <c r="G2" s="14" t="s">
        <v>159</v>
      </c>
      <c r="H2" s="14" t="s">
        <v>160</v>
      </c>
      <c r="I2" s="14" t="s">
        <v>161</v>
      </c>
      <c r="J2" s="14" t="s">
        <v>162</v>
      </c>
    </row>
    <row r="3" customFormat="false" ht="23.85" hidden="false" customHeight="false" outlineLevel="0" collapsed="false">
      <c r="A3" s="14" t="s">
        <v>163</v>
      </c>
      <c r="B3" s="14" t="s">
        <v>48</v>
      </c>
      <c r="C3" s="14" t="s">
        <v>66</v>
      </c>
      <c r="D3" s="14" t="s">
        <v>85</v>
      </c>
      <c r="E3" s="14" t="s">
        <v>97</v>
      </c>
      <c r="F3" s="14" t="s">
        <v>164</v>
      </c>
      <c r="G3" s="14" t="s">
        <v>165</v>
      </c>
      <c r="H3" s="14" t="s">
        <v>166</v>
      </c>
      <c r="I3" s="14" t="s">
        <v>161</v>
      </c>
      <c r="J3" s="14" t="s">
        <v>167</v>
      </c>
    </row>
    <row r="4" customFormat="false" ht="46.25" hidden="false" customHeight="false" outlineLevel="0" collapsed="false">
      <c r="A4" s="11" t="s">
        <v>168</v>
      </c>
      <c r="B4" s="11" t="s">
        <v>48</v>
      </c>
      <c r="C4" s="11" t="s">
        <v>76</v>
      </c>
      <c r="D4" s="11" t="s">
        <v>82</v>
      </c>
      <c r="E4" s="11" t="s">
        <v>100</v>
      </c>
      <c r="F4" s="11" t="s">
        <v>169</v>
      </c>
      <c r="G4" s="11" t="s">
        <v>170</v>
      </c>
      <c r="H4" s="11" t="s">
        <v>171</v>
      </c>
      <c r="I4" s="11" t="s">
        <v>172</v>
      </c>
      <c r="J4" s="11" t="s">
        <v>173</v>
      </c>
    </row>
    <row r="5" customFormat="false" ht="23.85" hidden="false" customHeight="false" outlineLevel="0" collapsed="false">
      <c r="A5" s="15" t="s">
        <v>174</v>
      </c>
      <c r="B5" s="15" t="s">
        <v>48</v>
      </c>
      <c r="C5" s="15" t="s">
        <v>70</v>
      </c>
      <c r="D5" s="15" t="s">
        <v>82</v>
      </c>
      <c r="E5" s="15" t="s">
        <v>97</v>
      </c>
      <c r="F5" s="15" t="s">
        <v>175</v>
      </c>
      <c r="G5" s="15" t="s">
        <v>176</v>
      </c>
      <c r="H5" s="15" t="s">
        <v>177</v>
      </c>
      <c r="I5" s="15" t="s">
        <v>178</v>
      </c>
      <c r="J5" s="15" t="s">
        <v>179</v>
      </c>
    </row>
    <row r="6" customFormat="false" ht="35.05" hidden="false" customHeight="false" outlineLevel="0" collapsed="false">
      <c r="A6" s="14" t="s">
        <v>180</v>
      </c>
      <c r="B6" s="14" t="s">
        <v>52</v>
      </c>
      <c r="C6" s="14" t="s">
        <v>66</v>
      </c>
      <c r="D6" s="14" t="s">
        <v>82</v>
      </c>
      <c r="E6" s="14" t="s">
        <v>100</v>
      </c>
      <c r="F6" s="14" t="s">
        <v>181</v>
      </c>
      <c r="G6" s="14" t="s">
        <v>182</v>
      </c>
      <c r="H6" s="14" t="s">
        <v>183</v>
      </c>
      <c r="I6" s="14" t="s">
        <v>161</v>
      </c>
      <c r="J6" s="14" t="s">
        <v>184</v>
      </c>
    </row>
    <row r="7" customFormat="false" ht="23.85" hidden="false" customHeight="false" outlineLevel="0" collapsed="false">
      <c r="A7" s="15" t="s">
        <v>185</v>
      </c>
      <c r="B7" s="15" t="s">
        <v>52</v>
      </c>
      <c r="C7" s="15" t="s">
        <v>66</v>
      </c>
      <c r="D7" s="15" t="s">
        <v>85</v>
      </c>
      <c r="E7" s="15" t="s">
        <v>97</v>
      </c>
      <c r="F7" s="15" t="s">
        <v>186</v>
      </c>
      <c r="G7" s="15" t="s">
        <v>187</v>
      </c>
      <c r="H7" s="15" t="s">
        <v>188</v>
      </c>
      <c r="I7" s="15" t="s">
        <v>178</v>
      </c>
      <c r="J7" s="15" t="s">
        <v>189</v>
      </c>
    </row>
    <row r="8" customFormat="false" ht="23.85" hidden="false" customHeight="false" outlineLevel="0" collapsed="false">
      <c r="A8" s="16" t="s">
        <v>190</v>
      </c>
      <c r="B8" s="16" t="s">
        <v>52</v>
      </c>
      <c r="C8" s="16" t="s">
        <v>70</v>
      </c>
      <c r="D8" s="16" t="s">
        <v>85</v>
      </c>
      <c r="E8" s="16" t="s">
        <v>100</v>
      </c>
      <c r="F8" s="16" t="s">
        <v>191</v>
      </c>
      <c r="G8" s="16" t="s">
        <v>192</v>
      </c>
      <c r="H8" s="16" t="s">
        <v>193</v>
      </c>
      <c r="I8" s="16" t="s">
        <v>172</v>
      </c>
      <c r="J8" s="16" t="s">
        <v>194</v>
      </c>
    </row>
    <row r="9" customFormat="false" ht="46.25" hidden="false" customHeight="false" outlineLevel="0" collapsed="false">
      <c r="A9" s="15" t="s">
        <v>195</v>
      </c>
      <c r="B9" s="15" t="s">
        <v>52</v>
      </c>
      <c r="C9" s="15" t="s">
        <v>73</v>
      </c>
      <c r="D9" s="15" t="s">
        <v>82</v>
      </c>
      <c r="E9" s="15" t="s">
        <v>97</v>
      </c>
      <c r="F9" s="15" t="s">
        <v>196</v>
      </c>
      <c r="G9" s="15" t="s">
        <v>197</v>
      </c>
      <c r="H9" s="15" t="s">
        <v>198</v>
      </c>
      <c r="I9" s="15" t="s">
        <v>178</v>
      </c>
      <c r="J9" s="15" t="s">
        <v>199</v>
      </c>
    </row>
    <row r="10" customFormat="false" ht="46.25" hidden="false" customHeight="false" outlineLevel="0" collapsed="false">
      <c r="A10" s="16" t="s">
        <v>200</v>
      </c>
      <c r="B10" s="16" t="s">
        <v>56</v>
      </c>
      <c r="C10" s="16" t="s">
        <v>66</v>
      </c>
      <c r="D10" s="16" t="s">
        <v>82</v>
      </c>
      <c r="E10" s="16" t="s">
        <v>100</v>
      </c>
      <c r="F10" s="16" t="s">
        <v>201</v>
      </c>
      <c r="G10" s="16" t="s">
        <v>202</v>
      </c>
      <c r="H10" s="16" t="s">
        <v>203</v>
      </c>
      <c r="I10" s="16" t="s">
        <v>172</v>
      </c>
      <c r="J10" s="16" t="s">
        <v>204</v>
      </c>
    </row>
    <row r="11" customFormat="false" ht="46.25" hidden="false" customHeight="false" outlineLevel="0" collapsed="false">
      <c r="A11" s="16" t="s">
        <v>205</v>
      </c>
      <c r="B11" s="16" t="s">
        <v>56</v>
      </c>
      <c r="C11" s="16" t="s">
        <v>76</v>
      </c>
      <c r="D11" s="16" t="s">
        <v>82</v>
      </c>
      <c r="E11" s="16" t="s">
        <v>100</v>
      </c>
      <c r="F11" s="16" t="s">
        <v>206</v>
      </c>
      <c r="G11" s="16" t="s">
        <v>207</v>
      </c>
      <c r="H11" s="16" t="s">
        <v>208</v>
      </c>
      <c r="I11" s="16" t="s">
        <v>172</v>
      </c>
      <c r="J11" s="16" t="s">
        <v>209</v>
      </c>
    </row>
    <row r="12" customFormat="false" ht="46.25" hidden="false" customHeight="false" outlineLevel="0" collapsed="false">
      <c r="A12" s="15" t="s">
        <v>210</v>
      </c>
      <c r="B12" s="15" t="s">
        <v>56</v>
      </c>
      <c r="C12" s="15" t="s">
        <v>66</v>
      </c>
      <c r="D12" s="15" t="s">
        <v>89</v>
      </c>
      <c r="E12" s="15" t="s">
        <v>97</v>
      </c>
      <c r="F12" s="15" t="s">
        <v>211</v>
      </c>
      <c r="G12" s="15" t="s">
        <v>212</v>
      </c>
      <c r="H12" s="15" t="s">
        <v>213</v>
      </c>
      <c r="I12" s="15" t="s">
        <v>178</v>
      </c>
      <c r="J12" s="15" t="s">
        <v>214</v>
      </c>
    </row>
    <row r="13" customFormat="false" ht="23.85" hidden="false" customHeight="false" outlineLevel="0" collapsed="false">
      <c r="A13" s="16" t="s">
        <v>215</v>
      </c>
      <c r="B13" s="16" t="s">
        <v>60</v>
      </c>
      <c r="C13" s="16" t="s">
        <v>66</v>
      </c>
      <c r="D13" s="16" t="s">
        <v>82</v>
      </c>
      <c r="E13" s="16" t="s">
        <v>100</v>
      </c>
      <c r="F13" s="16" t="s">
        <v>216</v>
      </c>
      <c r="G13" s="16" t="s">
        <v>217</v>
      </c>
      <c r="H13" s="16" t="s">
        <v>218</v>
      </c>
      <c r="I13" s="16" t="s">
        <v>172</v>
      </c>
      <c r="J13" s="16" t="s">
        <v>219</v>
      </c>
    </row>
    <row r="14" customFormat="false" ht="35.05" hidden="false" customHeight="false" outlineLevel="0" collapsed="false">
      <c r="A14" s="14" t="s">
        <v>220</v>
      </c>
      <c r="B14" s="14" t="s">
        <v>60</v>
      </c>
      <c r="C14" s="14" t="s">
        <v>66</v>
      </c>
      <c r="D14" s="14" t="s">
        <v>82</v>
      </c>
      <c r="E14" s="14" t="s">
        <v>97</v>
      </c>
      <c r="F14" s="14" t="s">
        <v>221</v>
      </c>
      <c r="G14" s="14" t="s">
        <v>222</v>
      </c>
      <c r="H14" s="14" t="s">
        <v>223</v>
      </c>
      <c r="I14" s="14" t="s">
        <v>161</v>
      </c>
      <c r="J14" s="14" t="s">
        <v>224</v>
      </c>
    </row>
    <row r="15" customFormat="false" ht="57.45" hidden="false" customHeight="false" outlineLevel="0" collapsed="false">
      <c r="A15" s="16" t="s">
        <v>225</v>
      </c>
      <c r="B15" s="16" t="s">
        <v>60</v>
      </c>
      <c r="C15" s="16" t="s">
        <v>73</v>
      </c>
      <c r="D15" s="16" t="s">
        <v>89</v>
      </c>
      <c r="E15" s="16" t="s">
        <v>97</v>
      </c>
      <c r="F15" s="16" t="s">
        <v>226</v>
      </c>
      <c r="G15" s="16" t="s">
        <v>227</v>
      </c>
      <c r="H15" s="16" t="s">
        <v>228</v>
      </c>
      <c r="I15" s="16" t="s">
        <v>172</v>
      </c>
      <c r="J15" s="16" t="s">
        <v>229</v>
      </c>
    </row>
    <row r="16" customFormat="false" ht="35.05" hidden="false" customHeight="false" outlineLevel="0" collapsed="false">
      <c r="A16" s="15" t="s">
        <v>230</v>
      </c>
      <c r="B16" s="15" t="s">
        <v>48</v>
      </c>
      <c r="C16" s="15" t="s">
        <v>66</v>
      </c>
      <c r="D16" s="15" t="s">
        <v>92</v>
      </c>
      <c r="E16" s="15" t="s">
        <v>100</v>
      </c>
      <c r="F16" s="15" t="s">
        <v>231</v>
      </c>
      <c r="G16" s="15" t="s">
        <v>232</v>
      </c>
      <c r="H16" s="15" t="s">
        <v>233</v>
      </c>
      <c r="I16" s="15" t="s">
        <v>178</v>
      </c>
      <c r="J16" s="15" t="s">
        <v>234</v>
      </c>
    </row>
    <row r="17" customFormat="false" ht="35.05" hidden="false" customHeight="false" outlineLevel="0" collapsed="false">
      <c r="A17" s="11" t="s">
        <v>235</v>
      </c>
      <c r="B17" s="11" t="s">
        <v>52</v>
      </c>
      <c r="C17" s="11" t="s">
        <v>66</v>
      </c>
      <c r="D17" s="11" t="s">
        <v>85</v>
      </c>
      <c r="E17" s="11" t="s">
        <v>100</v>
      </c>
      <c r="F17" s="11" t="s">
        <v>236</v>
      </c>
      <c r="G17" s="11" t="s">
        <v>237</v>
      </c>
      <c r="H17" s="11" t="s">
        <v>238</v>
      </c>
      <c r="I17" s="11" t="s">
        <v>178</v>
      </c>
      <c r="J17" s="11" t="s">
        <v>239</v>
      </c>
    </row>
    <row r="18" customFormat="false" ht="46.25" hidden="false" customHeight="false" outlineLevel="0" collapsed="false">
      <c r="A18" s="11" t="s">
        <v>240</v>
      </c>
      <c r="B18" s="11" t="s">
        <v>60</v>
      </c>
      <c r="C18" s="11" t="s">
        <v>66</v>
      </c>
      <c r="D18" s="11" t="s">
        <v>92</v>
      </c>
      <c r="E18" s="11" t="s">
        <v>100</v>
      </c>
      <c r="F18" s="11" t="s">
        <v>241</v>
      </c>
      <c r="G18" s="11" t="s">
        <v>242</v>
      </c>
      <c r="H18" s="11" t="s">
        <v>243</v>
      </c>
      <c r="I18" s="11" t="s">
        <v>172</v>
      </c>
      <c r="J18" s="11" t="s">
        <v>244</v>
      </c>
    </row>
    <row r="19" customFormat="false" ht="35.05" hidden="false" customHeight="false" outlineLevel="0" collapsed="false">
      <c r="A19" s="11" t="s">
        <v>245</v>
      </c>
      <c r="B19" s="11" t="s">
        <v>52</v>
      </c>
      <c r="C19" s="11" t="s">
        <v>76</v>
      </c>
      <c r="D19" s="11" t="s">
        <v>82</v>
      </c>
      <c r="E19" s="11" t="s">
        <v>100</v>
      </c>
      <c r="F19" s="11" t="s">
        <v>246</v>
      </c>
      <c r="G19" s="11" t="s">
        <v>247</v>
      </c>
      <c r="H19" s="11" t="s">
        <v>248</v>
      </c>
      <c r="I19" s="11" t="s">
        <v>172</v>
      </c>
      <c r="J19" s="11"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10"/>
    <col collapsed="false" customWidth="true" hidden="false" outlineLevel="0" max="4" min="4" style="0" width="110"/>
  </cols>
  <sheetData>
    <row r="1" customFormat="false" ht="15" hidden="false" customHeight="false" outlineLevel="0" collapsed="false">
      <c r="A1" s="5"/>
      <c r="B1" s="5" t="s">
        <v>250</v>
      </c>
      <c r="C1" s="5" t="s">
        <v>251</v>
      </c>
      <c r="D1" s="5" t="s">
        <v>252</v>
      </c>
    </row>
    <row r="2" customFormat="false" ht="15" hidden="false" customHeight="false" outlineLevel="0" collapsed="false">
      <c r="A2" s="8" t="s">
        <v>253</v>
      </c>
      <c r="B2" s="8" t="s">
        <v>254</v>
      </c>
      <c r="C2" s="8" t="n">
        <v>128</v>
      </c>
      <c r="D2" s="8" t="s">
        <v>255</v>
      </c>
    </row>
    <row r="3" customFormat="false" ht="15" hidden="false" customHeight="false" outlineLevel="0" collapsed="false">
      <c r="A3" s="13" t="s">
        <v>256</v>
      </c>
      <c r="B3" s="13" t="s">
        <v>257</v>
      </c>
      <c r="C3" s="13" t="n">
        <v>32</v>
      </c>
      <c r="D3" s="13" t="s">
        <v>258</v>
      </c>
    </row>
    <row r="4" customFormat="false" ht="15" hidden="false" customHeight="false" outlineLevel="0" collapsed="false">
      <c r="A4" s="11" t="s">
        <v>259</v>
      </c>
      <c r="B4" s="11" t="s">
        <v>260</v>
      </c>
      <c r="C4" s="11" t="n">
        <v>96</v>
      </c>
      <c r="D4" s="11" t="s">
        <v>261</v>
      </c>
    </row>
    <row r="5" customFormat="false" ht="15" hidden="false" customHeight="false" outlineLevel="0" collapsed="false">
      <c r="A5" s="14" t="s">
        <v>262</v>
      </c>
      <c r="B5" s="14" t="s">
        <v>263</v>
      </c>
      <c r="C5" s="14" t="n">
        <v>18</v>
      </c>
      <c r="D5" s="14" t="s">
        <v>264</v>
      </c>
    </row>
    <row r="6" customFormat="false" ht="23.85" hidden="false" customHeight="false" outlineLevel="0" collapsed="false">
      <c r="A6" s="8" t="s">
        <v>265</v>
      </c>
      <c r="B6" s="8" t="s">
        <v>266</v>
      </c>
      <c r="C6" s="8" t="n">
        <v>78</v>
      </c>
      <c r="D6" s="8" t="s">
        <v>267</v>
      </c>
    </row>
    <row r="8" customFormat="false" ht="15" hidden="false" customHeight="false" outlineLevel="0" collapsed="false">
      <c r="A8" s="1" t="s">
        <v>268</v>
      </c>
      <c r="B8" s="12"/>
      <c r="C8" s="12"/>
      <c r="D8" s="12"/>
    </row>
    <row r="9" customFormat="false" ht="15" hidden="false" customHeight="false" outlineLevel="0" collapsed="false">
      <c r="A9" s="5" t="s">
        <v>41</v>
      </c>
      <c r="B9" s="5" t="s">
        <v>269</v>
      </c>
      <c r="C9" s="5" t="s">
        <v>251</v>
      </c>
      <c r="D9" s="5" t="s">
        <v>270</v>
      </c>
    </row>
    <row r="10" customFormat="false" ht="15" hidden="false" customHeight="false" outlineLevel="0" collapsed="false">
      <c r="A10" s="13" t="s">
        <v>271</v>
      </c>
      <c r="B10" s="13" t="s">
        <v>272</v>
      </c>
      <c r="C10" s="13" t="n">
        <v>16</v>
      </c>
      <c r="D10" s="13" t="s">
        <v>273</v>
      </c>
    </row>
    <row r="11" customFormat="false" ht="23.85" hidden="false" customHeight="false" outlineLevel="0" collapsed="false">
      <c r="A11" s="13" t="s">
        <v>274</v>
      </c>
      <c r="B11" s="13" t="s">
        <v>275</v>
      </c>
      <c r="C11" s="13" t="n">
        <v>8</v>
      </c>
      <c r="D11" s="13" t="s">
        <v>276</v>
      </c>
    </row>
    <row r="12" customFormat="false" ht="15" hidden="false" customHeight="false" outlineLevel="0" collapsed="false">
      <c r="A12" s="13" t="s">
        <v>277</v>
      </c>
      <c r="B12" s="13" t="s">
        <v>278</v>
      </c>
      <c r="C12" s="13" t="n">
        <v>8</v>
      </c>
      <c r="D12" s="13" t="s">
        <v>279</v>
      </c>
    </row>
    <row r="14" customFormat="false" ht="15" hidden="false" customHeight="false" outlineLevel="0" collapsed="false">
      <c r="A14" s="1" t="s">
        <v>280</v>
      </c>
      <c r="B14" s="12"/>
      <c r="C14" s="12"/>
      <c r="D14" s="12"/>
    </row>
    <row r="15" customFormat="false" ht="15" hidden="false" customHeight="false" outlineLevel="0" collapsed="false">
      <c r="A15" s="8"/>
      <c r="B15" s="8" t="s">
        <v>281</v>
      </c>
      <c r="C15" s="8"/>
      <c r="D15" s="8" t="s">
        <v>282</v>
      </c>
    </row>
    <row r="16" customFormat="false" ht="15" hidden="false" customHeight="false" outlineLevel="0" collapsed="false">
      <c r="A16" s="8"/>
      <c r="B16" s="8" t="s">
        <v>283</v>
      </c>
      <c r="C16" s="8"/>
      <c r="D16" s="8" t="s">
        <v>282</v>
      </c>
    </row>
    <row r="17" customFormat="false" ht="15" hidden="false" customHeight="false" outlineLevel="0" collapsed="false">
      <c r="A17" s="8"/>
      <c r="B17" s="8" t="s">
        <v>284</v>
      </c>
      <c r="C17" s="8"/>
      <c r="D17" s="8" t="s">
        <v>282</v>
      </c>
    </row>
    <row r="18" customFormat="false" ht="15" hidden="false" customHeight="false" outlineLevel="0" collapsed="false">
      <c r="A18" s="8"/>
      <c r="B18" s="8" t="s">
        <v>285</v>
      </c>
      <c r="C18" s="8"/>
      <c r="D18" s="8" t="s">
        <v>282</v>
      </c>
    </row>
    <row r="19" customFormat="false" ht="15" hidden="false" customHeight="false" outlineLevel="0" collapsed="false">
      <c r="A19" s="8"/>
      <c r="B19" s="8" t="s">
        <v>286</v>
      </c>
      <c r="C19" s="8"/>
      <c r="D19" s="8" t="s">
        <v>282</v>
      </c>
    </row>
    <row r="21" customFormat="false" ht="15" hidden="false" customHeight="false" outlineLevel="0" collapsed="false">
      <c r="A21" s="1" t="s">
        <v>287</v>
      </c>
      <c r="B21" s="12"/>
      <c r="C21" s="12"/>
      <c r="D21" s="12"/>
    </row>
    <row r="22" customFormat="false" ht="35.05" hidden="false" customHeight="false" outlineLevel="0" collapsed="false">
      <c r="A22" s="11"/>
      <c r="B22" s="11" t="s">
        <v>288</v>
      </c>
      <c r="C22" s="11" t="s">
        <v>289</v>
      </c>
      <c r="D22" s="11" t="s">
        <v>290</v>
      </c>
    </row>
    <row r="23" customFormat="false" ht="35.05" hidden="false" customHeight="false" outlineLevel="0" collapsed="false">
      <c r="A23" s="11"/>
      <c r="B23" s="11" t="s">
        <v>291</v>
      </c>
      <c r="C23" s="11" t="s">
        <v>292</v>
      </c>
      <c r="D23" s="11"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72"/>
    <col collapsed="false" customWidth="true" hidden="false" outlineLevel="0" max="4" min="4" style="0" width="26"/>
    <col collapsed="false" customWidth="true" hidden="false" outlineLevel="0" max="5" min="5" style="0" width="18"/>
    <col collapsed="false" customWidth="true" hidden="false" outlineLevel="0" max="6" min="6" style="0" width="96"/>
    <col collapsed="false" customWidth="true" hidden="false" outlineLevel="0" max="7" min="7" style="0" width="72"/>
  </cols>
  <sheetData>
    <row r="1" customFormat="false" ht="23.85" hidden="false" customHeight="false" outlineLevel="0" collapsed="false">
      <c r="A1" s="5" t="s">
        <v>294</v>
      </c>
      <c r="B1" s="5" t="s">
        <v>147</v>
      </c>
      <c r="C1" s="5" t="s">
        <v>295</v>
      </c>
      <c r="D1" s="5" t="s">
        <v>296</v>
      </c>
      <c r="E1" s="5" t="s">
        <v>297</v>
      </c>
      <c r="F1" s="5" t="s">
        <v>298</v>
      </c>
      <c r="G1" s="5" t="s">
        <v>299</v>
      </c>
    </row>
    <row r="2" customFormat="false" ht="35.05" hidden="false" customHeight="false" outlineLevel="0" collapsed="false">
      <c r="A2" s="15" t="s">
        <v>300</v>
      </c>
      <c r="B2" s="15" t="s">
        <v>157</v>
      </c>
      <c r="C2" s="15" t="s">
        <v>301</v>
      </c>
      <c r="D2" s="15" t="s">
        <v>302</v>
      </c>
      <c r="E2" s="15" t="s">
        <v>303</v>
      </c>
      <c r="F2" s="15" t="s">
        <v>304</v>
      </c>
      <c r="G2" s="15" t="s">
        <v>305</v>
      </c>
    </row>
    <row r="3" customFormat="false" ht="15" hidden="false" customHeight="false" outlineLevel="0" collapsed="false">
      <c r="A3" s="16" t="s">
        <v>306</v>
      </c>
      <c r="B3" s="16" t="s">
        <v>157</v>
      </c>
      <c r="C3" s="16" t="s">
        <v>307</v>
      </c>
      <c r="D3" s="16" t="s">
        <v>308</v>
      </c>
      <c r="E3" s="16" t="s">
        <v>309</v>
      </c>
      <c r="F3" s="16" t="s">
        <v>310</v>
      </c>
      <c r="G3" s="16"/>
    </row>
    <row r="4" customFormat="false" ht="23.85" hidden="false" customHeight="false" outlineLevel="0" collapsed="false">
      <c r="A4" s="14" t="s">
        <v>311</v>
      </c>
      <c r="B4" s="14" t="s">
        <v>163</v>
      </c>
      <c r="C4" s="14" t="s">
        <v>312</v>
      </c>
      <c r="D4" s="14" t="s">
        <v>313</v>
      </c>
      <c r="E4" s="14" t="s">
        <v>314</v>
      </c>
      <c r="F4" s="14" t="s">
        <v>315</v>
      </c>
      <c r="G4" s="14"/>
    </row>
    <row r="5" customFormat="false" ht="23.85" hidden="false" customHeight="false" outlineLevel="0" collapsed="false">
      <c r="A5" s="14" t="s">
        <v>316</v>
      </c>
      <c r="B5" s="14" t="s">
        <v>163</v>
      </c>
      <c r="C5" s="14" t="s">
        <v>317</v>
      </c>
      <c r="D5" s="14" t="s">
        <v>318</v>
      </c>
      <c r="E5" s="14" t="s">
        <v>314</v>
      </c>
      <c r="F5" s="14" t="s">
        <v>319</v>
      </c>
      <c r="G5" s="14"/>
    </row>
    <row r="6" customFormat="false" ht="23.85" hidden="false" customHeight="false" outlineLevel="0" collapsed="false">
      <c r="A6" s="14" t="s">
        <v>320</v>
      </c>
      <c r="B6" s="14" t="s">
        <v>168</v>
      </c>
      <c r="C6" s="14" t="s">
        <v>321</v>
      </c>
      <c r="D6" s="14" t="s">
        <v>322</v>
      </c>
      <c r="E6" s="14" t="s">
        <v>314</v>
      </c>
      <c r="F6" s="14" t="s">
        <v>323</v>
      </c>
      <c r="G6" s="14"/>
    </row>
    <row r="7" customFormat="false" ht="23.85" hidden="false" customHeight="false" outlineLevel="0" collapsed="false">
      <c r="A7" s="14" t="s">
        <v>324</v>
      </c>
      <c r="B7" s="14" t="s">
        <v>168</v>
      </c>
      <c r="C7" s="14" t="s">
        <v>325</v>
      </c>
      <c r="D7" s="14" t="s">
        <v>326</v>
      </c>
      <c r="E7" s="14" t="s">
        <v>314</v>
      </c>
      <c r="F7" s="14" t="s">
        <v>327</v>
      </c>
      <c r="G7" s="14"/>
    </row>
    <row r="8" customFormat="false" ht="15" hidden="false" customHeight="false" outlineLevel="0" collapsed="false">
      <c r="A8" s="14" t="s">
        <v>328</v>
      </c>
      <c r="B8" s="14" t="s">
        <v>174</v>
      </c>
      <c r="C8" s="14" t="s">
        <v>329</v>
      </c>
      <c r="D8" s="14" t="s">
        <v>330</v>
      </c>
      <c r="E8" s="14" t="s">
        <v>314</v>
      </c>
      <c r="F8" s="14" t="s">
        <v>331</v>
      </c>
      <c r="G8" s="14"/>
    </row>
    <row r="9" customFormat="false" ht="23.85" hidden="false" customHeight="false" outlineLevel="0" collapsed="false">
      <c r="A9" s="14" t="s">
        <v>332</v>
      </c>
      <c r="B9" s="14" t="s">
        <v>174</v>
      </c>
      <c r="C9" s="14" t="s">
        <v>333</v>
      </c>
      <c r="D9" s="14" t="s">
        <v>334</v>
      </c>
      <c r="E9" s="14" t="s">
        <v>335</v>
      </c>
      <c r="F9" s="14" t="s">
        <v>336</v>
      </c>
      <c r="G9" s="14"/>
    </row>
    <row r="10" customFormat="false" ht="15" hidden="false" customHeight="false" outlineLevel="0" collapsed="false">
      <c r="A10" s="14" t="s">
        <v>337</v>
      </c>
      <c r="B10" s="14" t="s">
        <v>180</v>
      </c>
      <c r="C10" s="14" t="s">
        <v>338</v>
      </c>
      <c r="D10" s="14" t="s">
        <v>339</v>
      </c>
      <c r="E10" s="14" t="s">
        <v>314</v>
      </c>
      <c r="F10" s="14"/>
      <c r="G10" s="14"/>
    </row>
    <row r="11" customFormat="false" ht="23.85" hidden="false" customHeight="false" outlineLevel="0" collapsed="false">
      <c r="A11" s="14" t="s">
        <v>340</v>
      </c>
      <c r="B11" s="14" t="s">
        <v>245</v>
      </c>
      <c r="C11" s="14" t="s">
        <v>341</v>
      </c>
      <c r="D11" s="14" t="s">
        <v>342</v>
      </c>
      <c r="E11" s="14" t="s">
        <v>314</v>
      </c>
      <c r="F11" s="14" t="s">
        <v>343</v>
      </c>
      <c r="G11" s="14"/>
    </row>
    <row r="12" customFormat="false" ht="15" hidden="false" customHeight="false" outlineLevel="0" collapsed="false">
      <c r="A12" s="14" t="s">
        <v>344</v>
      </c>
      <c r="B12" s="14" t="s">
        <v>185</v>
      </c>
      <c r="C12" s="14" t="s">
        <v>345</v>
      </c>
      <c r="D12" s="14" t="s">
        <v>346</v>
      </c>
      <c r="E12" s="14" t="s">
        <v>314</v>
      </c>
      <c r="F12" s="14"/>
      <c r="G12" s="14"/>
    </row>
    <row r="13" customFormat="false" ht="35.05" hidden="false" customHeight="false" outlineLevel="0" collapsed="false">
      <c r="A13" s="16" t="s">
        <v>347</v>
      </c>
      <c r="B13" s="16" t="s">
        <v>185</v>
      </c>
      <c r="C13" s="16" t="s">
        <v>348</v>
      </c>
      <c r="D13" s="16" t="s">
        <v>349</v>
      </c>
      <c r="E13" s="16" t="s">
        <v>309</v>
      </c>
      <c r="F13" s="16" t="s">
        <v>350</v>
      </c>
      <c r="G13" s="16"/>
    </row>
    <row r="14" customFormat="false" ht="23.85" hidden="false" customHeight="false" outlineLevel="0" collapsed="false">
      <c r="A14" s="14" t="s">
        <v>351</v>
      </c>
      <c r="B14" s="14" t="s">
        <v>190</v>
      </c>
      <c r="C14" s="14" t="s">
        <v>352</v>
      </c>
      <c r="D14" s="14" t="s">
        <v>353</v>
      </c>
      <c r="E14" s="14" t="s">
        <v>314</v>
      </c>
      <c r="F14" s="14"/>
      <c r="G14" s="14"/>
    </row>
    <row r="15" customFormat="false" ht="23.85" hidden="false" customHeight="false" outlineLevel="0" collapsed="false">
      <c r="A15" s="14" t="s">
        <v>354</v>
      </c>
      <c r="B15" s="14" t="s">
        <v>235</v>
      </c>
      <c r="C15" s="14" t="s">
        <v>355</v>
      </c>
      <c r="D15" s="14" t="s">
        <v>356</v>
      </c>
      <c r="E15" s="14" t="s">
        <v>314</v>
      </c>
      <c r="F15" s="14" t="s">
        <v>357</v>
      </c>
      <c r="G15" s="14"/>
    </row>
    <row r="16" customFormat="false" ht="23.85" hidden="false" customHeight="false" outlineLevel="0" collapsed="false">
      <c r="A16" s="15" t="s">
        <v>358</v>
      </c>
      <c r="B16" s="15" t="s">
        <v>195</v>
      </c>
      <c r="C16" s="15" t="s">
        <v>359</v>
      </c>
      <c r="D16" s="15" t="s">
        <v>360</v>
      </c>
      <c r="E16" s="15" t="s">
        <v>303</v>
      </c>
      <c r="F16" s="15" t="s">
        <v>361</v>
      </c>
      <c r="G16" s="15" t="s">
        <v>362</v>
      </c>
    </row>
    <row r="17" customFormat="false" ht="23.85" hidden="false" customHeight="false" outlineLevel="0" collapsed="false">
      <c r="A17" s="16" t="s">
        <v>363</v>
      </c>
      <c r="B17" s="16" t="s">
        <v>195</v>
      </c>
      <c r="C17" s="16" t="s">
        <v>364</v>
      </c>
      <c r="D17" s="16" t="s">
        <v>365</v>
      </c>
      <c r="E17" s="16" t="s">
        <v>309</v>
      </c>
      <c r="F17" s="16" t="s">
        <v>366</v>
      </c>
      <c r="G17" s="16"/>
    </row>
    <row r="18" customFormat="false" ht="15" hidden="false" customHeight="false" outlineLevel="0" collapsed="false">
      <c r="A18" s="14" t="s">
        <v>367</v>
      </c>
      <c r="B18" s="14" t="s">
        <v>200</v>
      </c>
      <c r="C18" s="14" t="s">
        <v>368</v>
      </c>
      <c r="D18" s="14" t="s">
        <v>369</v>
      </c>
      <c r="E18" s="14" t="s">
        <v>314</v>
      </c>
      <c r="F18" s="14"/>
      <c r="G18" s="14"/>
    </row>
    <row r="19" customFormat="false" ht="23.85" hidden="false" customHeight="false" outlineLevel="0" collapsed="false">
      <c r="A19" s="15" t="s">
        <v>370</v>
      </c>
      <c r="B19" s="15" t="s">
        <v>200</v>
      </c>
      <c r="C19" s="15" t="s">
        <v>371</v>
      </c>
      <c r="D19" s="15" t="s">
        <v>372</v>
      </c>
      <c r="E19" s="15" t="s">
        <v>303</v>
      </c>
      <c r="F19" s="15" t="s">
        <v>373</v>
      </c>
      <c r="G19" s="15" t="s">
        <v>374</v>
      </c>
    </row>
    <row r="20" customFormat="false" ht="15" hidden="false" customHeight="false" outlineLevel="0" collapsed="false">
      <c r="A20" s="14" t="s">
        <v>375</v>
      </c>
      <c r="B20" s="14" t="s">
        <v>205</v>
      </c>
      <c r="C20" s="14" t="s">
        <v>376</v>
      </c>
      <c r="D20" s="14" t="s">
        <v>377</v>
      </c>
      <c r="E20" s="14" t="s">
        <v>314</v>
      </c>
      <c r="F20" s="14"/>
      <c r="G20" s="14"/>
    </row>
    <row r="21" customFormat="false" ht="23.85" hidden="false" customHeight="false" outlineLevel="0" collapsed="false">
      <c r="A21" s="16" t="s">
        <v>378</v>
      </c>
      <c r="B21" s="16" t="s">
        <v>205</v>
      </c>
      <c r="C21" s="16" t="s">
        <v>379</v>
      </c>
      <c r="D21" s="16" t="s">
        <v>380</v>
      </c>
      <c r="E21" s="16" t="s">
        <v>309</v>
      </c>
      <c r="F21" s="16" t="s">
        <v>381</v>
      </c>
      <c r="G21" s="16"/>
    </row>
    <row r="22" customFormat="false" ht="23.85" hidden="false" customHeight="false" outlineLevel="0" collapsed="false">
      <c r="A22" s="14" t="s">
        <v>382</v>
      </c>
      <c r="B22" s="14" t="s">
        <v>210</v>
      </c>
      <c r="C22" s="14" t="s">
        <v>383</v>
      </c>
      <c r="D22" s="14" t="s">
        <v>384</v>
      </c>
      <c r="E22" s="14" t="s">
        <v>314</v>
      </c>
      <c r="F22" s="14"/>
      <c r="G22" s="14"/>
    </row>
    <row r="23" customFormat="false" ht="23.85" hidden="false" customHeight="false" outlineLevel="0" collapsed="false">
      <c r="A23" s="15" t="s">
        <v>385</v>
      </c>
      <c r="B23" s="15" t="s">
        <v>210</v>
      </c>
      <c r="C23" s="15" t="s">
        <v>386</v>
      </c>
      <c r="D23" s="15" t="s">
        <v>387</v>
      </c>
      <c r="E23" s="15" t="s">
        <v>303</v>
      </c>
      <c r="F23" s="15" t="s">
        <v>388</v>
      </c>
      <c r="G23" s="15" t="s">
        <v>389</v>
      </c>
    </row>
    <row r="24" customFormat="false" ht="15" hidden="false" customHeight="false" outlineLevel="0" collapsed="false">
      <c r="A24" s="14" t="s">
        <v>390</v>
      </c>
      <c r="B24" s="14" t="s">
        <v>215</v>
      </c>
      <c r="C24" s="14" t="s">
        <v>391</v>
      </c>
      <c r="D24" s="14" t="s">
        <v>392</v>
      </c>
      <c r="E24" s="14" t="s">
        <v>314</v>
      </c>
      <c r="F24" s="14"/>
      <c r="G24" s="14"/>
    </row>
    <row r="25" customFormat="false" ht="23.85" hidden="false" customHeight="false" outlineLevel="0" collapsed="false">
      <c r="A25" s="14" t="s">
        <v>393</v>
      </c>
      <c r="B25" s="14" t="s">
        <v>215</v>
      </c>
      <c r="C25" s="14" t="s">
        <v>394</v>
      </c>
      <c r="D25" s="14" t="s">
        <v>395</v>
      </c>
      <c r="E25" s="14" t="s">
        <v>314</v>
      </c>
      <c r="F25" s="14" t="s">
        <v>396</v>
      </c>
      <c r="G25" s="14"/>
    </row>
    <row r="26" customFormat="false" ht="15" hidden="false" customHeight="false" outlineLevel="0" collapsed="false">
      <c r="A26" s="14" t="s">
        <v>397</v>
      </c>
      <c r="B26" s="14" t="s">
        <v>220</v>
      </c>
      <c r="C26" s="14" t="s">
        <v>398</v>
      </c>
      <c r="D26" s="14" t="s">
        <v>399</v>
      </c>
      <c r="E26" s="14" t="s">
        <v>314</v>
      </c>
      <c r="F26" s="14"/>
      <c r="G26" s="14"/>
    </row>
    <row r="27" customFormat="false" ht="15" hidden="false" customHeight="false" outlineLevel="0" collapsed="false">
      <c r="A27" s="16" t="s">
        <v>400</v>
      </c>
      <c r="B27" s="16" t="s">
        <v>220</v>
      </c>
      <c r="C27" s="16" t="s">
        <v>401</v>
      </c>
      <c r="D27" s="16" t="s">
        <v>402</v>
      </c>
      <c r="E27" s="16" t="s">
        <v>309</v>
      </c>
      <c r="F27" s="16" t="s">
        <v>403</v>
      </c>
      <c r="G27" s="16"/>
    </row>
    <row r="28" customFormat="false" ht="23.85" hidden="false" customHeight="false" outlineLevel="0" collapsed="false">
      <c r="A28" s="14" t="s">
        <v>404</v>
      </c>
      <c r="B28" s="14" t="s">
        <v>225</v>
      </c>
      <c r="C28" s="14" t="s">
        <v>405</v>
      </c>
      <c r="D28" s="14" t="s">
        <v>406</v>
      </c>
      <c r="E28" s="14" t="s">
        <v>314</v>
      </c>
      <c r="F28" s="14"/>
      <c r="G28" s="14"/>
    </row>
    <row r="29" customFormat="false" ht="23.85" hidden="false" customHeight="false" outlineLevel="0" collapsed="false">
      <c r="A29" s="15" t="s">
        <v>407</v>
      </c>
      <c r="B29" s="15" t="s">
        <v>225</v>
      </c>
      <c r="C29" s="15" t="s">
        <v>408</v>
      </c>
      <c r="D29" s="15" t="s">
        <v>409</v>
      </c>
      <c r="E29" s="15" t="s">
        <v>303</v>
      </c>
      <c r="F29" s="15" t="s">
        <v>410</v>
      </c>
      <c r="G29" s="15" t="s">
        <v>411</v>
      </c>
    </row>
    <row r="30" customFormat="false" ht="23.85" hidden="false" customHeight="false" outlineLevel="0" collapsed="false">
      <c r="A30" s="14" t="s">
        <v>412</v>
      </c>
      <c r="B30" s="14" t="s">
        <v>230</v>
      </c>
      <c r="C30" s="14" t="s">
        <v>413</v>
      </c>
      <c r="D30" s="14" t="s">
        <v>414</v>
      </c>
      <c r="E30" s="14" t="s">
        <v>314</v>
      </c>
      <c r="F30" s="14"/>
      <c r="G30" s="14"/>
    </row>
    <row r="31" customFormat="false" ht="15" hidden="false" customHeight="false" outlineLevel="0" collapsed="false">
      <c r="A31" s="16" t="s">
        <v>415</v>
      </c>
      <c r="B31" s="16" t="s">
        <v>230</v>
      </c>
      <c r="C31" s="16" t="s">
        <v>416</v>
      </c>
      <c r="D31" s="16" t="s">
        <v>417</v>
      </c>
      <c r="E31" s="16" t="s">
        <v>309</v>
      </c>
      <c r="F31" s="16" t="s">
        <v>418</v>
      </c>
      <c r="G31" s="16"/>
    </row>
    <row r="32" customFormat="false" ht="35.05" hidden="false" customHeight="false" outlineLevel="0" collapsed="false">
      <c r="A32" s="14" t="s">
        <v>419</v>
      </c>
      <c r="B32" s="14" t="s">
        <v>240</v>
      </c>
      <c r="C32" s="14" t="s">
        <v>420</v>
      </c>
      <c r="D32" s="14" t="s">
        <v>421</v>
      </c>
      <c r="E32" s="14" t="s">
        <v>314</v>
      </c>
      <c r="F32" s="14" t="s">
        <v>422</v>
      </c>
      <c r="G32" s="14"/>
    </row>
    <row r="34" customFormat="false" ht="68.65" hidden="false" customHeight="false" outlineLevel="0" collapsed="false">
      <c r="A34" s="7" t="s">
        <v>423</v>
      </c>
      <c r="B34" s="7" t="s">
        <v>424</v>
      </c>
    </row>
    <row r="35" customFormat="false" ht="158.2" hidden="false" customHeight="false" outlineLevel="0" collapsed="false">
      <c r="A35" s="8" t="s">
        <v>425</v>
      </c>
      <c r="B35" s="8" t="s">
        <v>426</v>
      </c>
    </row>
    <row r="36" customFormat="false" ht="169.4" hidden="false" customHeight="false" outlineLevel="0" collapsed="false">
      <c r="A36" s="8" t="s">
        <v>427</v>
      </c>
      <c r="B36" s="8" t="s">
        <v>428</v>
      </c>
    </row>
    <row r="37" customFormat="false" ht="202.95" hidden="false" customHeight="false" outlineLevel="0" collapsed="false">
      <c r="A37" s="11" t="s">
        <v>429</v>
      </c>
      <c r="B37" s="11" t="s">
        <v>430</v>
      </c>
    </row>
    <row r="38" customFormat="false" ht="147" hidden="false" customHeight="false" outlineLevel="0" collapsed="false">
      <c r="A38" s="11" t="s">
        <v>429</v>
      </c>
      <c r="B38" s="11"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2"/>
    <col collapsed="false" customWidth="true" hidden="false" outlineLevel="0" max="3" min="3" style="0" width="54"/>
    <col collapsed="false" customWidth="true" hidden="false" outlineLevel="0" max="4" min="4" style="0" width="92"/>
    <col collapsed="false" customWidth="true" hidden="false" outlineLevel="0" max="5" min="5" style="0" width="68"/>
    <col collapsed="false" customWidth="true" hidden="false" outlineLevel="0" max="6" min="6" style="0" width="20"/>
    <col collapsed="false" customWidth="true" hidden="false" outlineLevel="0" max="7" min="7" style="0" width="14"/>
    <col collapsed="false" customWidth="true" hidden="false" outlineLevel="0" max="8" min="8" style="0" width="20"/>
    <col collapsed="false" customWidth="true" hidden="false" outlineLevel="0" max="9" min="9" style="0" width="18"/>
    <col collapsed="false" customWidth="true" hidden="false" outlineLevel="0" max="10" min="10" style="0" width="20"/>
    <col collapsed="false" customWidth="true" hidden="false" outlineLevel="0" max="11" min="11" style="0" width="14"/>
    <col collapsed="false" customWidth="true" hidden="false" outlineLevel="0" max="12" min="12" style="0" width="80"/>
    <col collapsed="false" customWidth="true" hidden="false" outlineLevel="0" max="13" min="13" style="0" width="44"/>
    <col collapsed="false" customWidth="true" hidden="false" outlineLevel="0" max="14" min="14" style="0" width="22"/>
    <col collapsed="false" customWidth="true" hidden="false" outlineLevel="0" max="15" min="15" style="0" width="26"/>
    <col collapsed="false" customWidth="true" hidden="false" outlineLevel="0" max="16" min="16" style="0" width="34"/>
  </cols>
  <sheetData>
    <row r="1" customFormat="false" ht="15" hidden="false" customHeight="false" outlineLevel="0" collapsed="false">
      <c r="A1" s="5" t="s">
        <v>432</v>
      </c>
      <c r="B1" s="5" t="s">
        <v>433</v>
      </c>
      <c r="C1" s="5" t="s">
        <v>434</v>
      </c>
      <c r="D1" s="5" t="s">
        <v>435</v>
      </c>
      <c r="E1" s="5" t="s">
        <v>436</v>
      </c>
      <c r="F1" s="5" t="s">
        <v>155</v>
      </c>
      <c r="G1" s="5" t="s">
        <v>147</v>
      </c>
      <c r="H1" s="5" t="s">
        <v>437</v>
      </c>
      <c r="I1" s="5" t="s">
        <v>438</v>
      </c>
      <c r="J1" s="5" t="s">
        <v>439</v>
      </c>
      <c r="K1" s="5" t="s">
        <v>440</v>
      </c>
      <c r="L1" s="5" t="s">
        <v>441</v>
      </c>
      <c r="M1" s="5" t="s">
        <v>442</v>
      </c>
      <c r="N1" s="5" t="s">
        <v>443</v>
      </c>
      <c r="O1" s="5" t="s">
        <v>296</v>
      </c>
      <c r="P1" s="5" t="s">
        <v>444</v>
      </c>
    </row>
    <row r="2" customFormat="false" ht="35.05" hidden="false" customHeight="false" outlineLevel="0" collapsed="false">
      <c r="A2" s="14" t="s">
        <v>445</v>
      </c>
      <c r="B2" s="14" t="s">
        <v>305</v>
      </c>
      <c r="C2" s="14" t="s">
        <v>446</v>
      </c>
      <c r="D2" s="14" t="s">
        <v>447</v>
      </c>
      <c r="E2" s="14" t="s">
        <v>448</v>
      </c>
      <c r="F2" s="14" t="s">
        <v>161</v>
      </c>
      <c r="G2" s="14" t="s">
        <v>157</v>
      </c>
      <c r="H2" s="14" t="s">
        <v>48</v>
      </c>
      <c r="I2" s="14" t="s">
        <v>66</v>
      </c>
      <c r="J2" s="14" t="s">
        <v>82</v>
      </c>
      <c r="K2" s="14" t="s">
        <v>100</v>
      </c>
      <c r="L2" s="14"/>
      <c r="M2" s="14" t="s">
        <v>449</v>
      </c>
      <c r="N2" s="14" t="s">
        <v>162</v>
      </c>
      <c r="O2" s="14" t="s">
        <v>302</v>
      </c>
      <c r="P2" s="14" t="s">
        <v>450</v>
      </c>
    </row>
    <row r="3" customFormat="false" ht="23.85" hidden="false" customHeight="false" outlineLevel="0" collapsed="false">
      <c r="A3" s="14" t="s">
        <v>451</v>
      </c>
      <c r="B3" s="14" t="s">
        <v>312</v>
      </c>
      <c r="C3" s="14" t="s">
        <v>452</v>
      </c>
      <c r="D3" s="14" t="s">
        <v>453</v>
      </c>
      <c r="E3" s="14" t="s">
        <v>454</v>
      </c>
      <c r="F3" s="14" t="s">
        <v>161</v>
      </c>
      <c r="G3" s="14" t="s">
        <v>163</v>
      </c>
      <c r="H3" s="14" t="s">
        <v>48</v>
      </c>
      <c r="I3" s="14" t="s">
        <v>66</v>
      </c>
      <c r="J3" s="14" t="s">
        <v>85</v>
      </c>
      <c r="K3" s="14" t="s">
        <v>97</v>
      </c>
      <c r="L3" s="14"/>
      <c r="M3" s="14" t="s">
        <v>455</v>
      </c>
      <c r="N3" s="14" t="s">
        <v>167</v>
      </c>
      <c r="O3" s="14" t="s">
        <v>313</v>
      </c>
      <c r="P3" s="14" t="s">
        <v>311</v>
      </c>
    </row>
    <row r="4" customFormat="false" ht="35.05" hidden="false" customHeight="false" outlineLevel="0" collapsed="false">
      <c r="A4" s="14" t="s">
        <v>456</v>
      </c>
      <c r="B4" s="14" t="s">
        <v>317</v>
      </c>
      <c r="C4" s="14" t="s">
        <v>452</v>
      </c>
      <c r="D4" s="14" t="s">
        <v>457</v>
      </c>
      <c r="E4" s="14" t="s">
        <v>458</v>
      </c>
      <c r="F4" s="14" t="s">
        <v>161</v>
      </c>
      <c r="G4" s="14" t="s">
        <v>163</v>
      </c>
      <c r="H4" s="14" t="s">
        <v>48</v>
      </c>
      <c r="I4" s="14" t="s">
        <v>66</v>
      </c>
      <c r="J4" s="14" t="s">
        <v>85</v>
      </c>
      <c r="K4" s="14" t="s">
        <v>97</v>
      </c>
      <c r="L4" s="14" t="s">
        <v>459</v>
      </c>
      <c r="M4" s="14" t="s">
        <v>455</v>
      </c>
      <c r="N4" s="14" t="s">
        <v>460</v>
      </c>
      <c r="O4" s="14" t="s">
        <v>318</v>
      </c>
      <c r="P4" s="14" t="s">
        <v>316</v>
      </c>
    </row>
    <row r="5" customFormat="false" ht="57.45" hidden="false" customHeight="false" outlineLevel="0" collapsed="false">
      <c r="A5" s="16" t="s">
        <v>461</v>
      </c>
      <c r="B5" s="16" t="s">
        <v>321</v>
      </c>
      <c r="C5" s="16" t="s">
        <v>462</v>
      </c>
      <c r="D5" s="16" t="s">
        <v>463</v>
      </c>
      <c r="E5" s="16" t="s">
        <v>464</v>
      </c>
      <c r="F5" s="16" t="s">
        <v>172</v>
      </c>
      <c r="G5" s="16" t="s">
        <v>168</v>
      </c>
      <c r="H5" s="16" t="s">
        <v>48</v>
      </c>
      <c r="I5" s="16" t="s">
        <v>76</v>
      </c>
      <c r="J5" s="16" t="s">
        <v>82</v>
      </c>
      <c r="K5" s="16" t="s">
        <v>100</v>
      </c>
      <c r="L5" s="16"/>
      <c r="M5" s="16" t="s">
        <v>465</v>
      </c>
      <c r="N5" s="16" t="s">
        <v>466</v>
      </c>
      <c r="O5" s="16" t="s">
        <v>322</v>
      </c>
      <c r="P5" s="16" t="s">
        <v>467</v>
      </c>
    </row>
    <row r="6" customFormat="false" ht="23.85" hidden="false" customHeight="false" outlineLevel="0" collapsed="false">
      <c r="A6" s="16" t="s">
        <v>468</v>
      </c>
      <c r="B6" s="16" t="s">
        <v>325</v>
      </c>
      <c r="C6" s="16" t="s">
        <v>462</v>
      </c>
      <c r="D6" s="16" t="s">
        <v>469</v>
      </c>
      <c r="E6" s="16" t="s">
        <v>470</v>
      </c>
      <c r="F6" s="16" t="s">
        <v>172</v>
      </c>
      <c r="G6" s="16" t="s">
        <v>168</v>
      </c>
      <c r="H6" s="16" t="s">
        <v>48</v>
      </c>
      <c r="I6" s="16" t="s">
        <v>76</v>
      </c>
      <c r="J6" s="16" t="s">
        <v>82</v>
      </c>
      <c r="K6" s="16" t="s">
        <v>100</v>
      </c>
      <c r="L6" s="16" t="s">
        <v>471</v>
      </c>
      <c r="M6" s="16" t="s">
        <v>472</v>
      </c>
      <c r="N6" s="16" t="s">
        <v>473</v>
      </c>
      <c r="O6" s="16" t="s">
        <v>326</v>
      </c>
      <c r="P6" s="16" t="s">
        <v>324</v>
      </c>
    </row>
    <row r="7" customFormat="false" ht="23.85" hidden="false" customHeight="false" outlineLevel="0" collapsed="false">
      <c r="A7" s="15" t="s">
        <v>474</v>
      </c>
      <c r="B7" s="15" t="s">
        <v>329</v>
      </c>
      <c r="C7" s="15" t="s">
        <v>475</v>
      </c>
      <c r="D7" s="15" t="s">
        <v>476</v>
      </c>
      <c r="E7" s="15" t="s">
        <v>477</v>
      </c>
      <c r="F7" s="15" t="s">
        <v>178</v>
      </c>
      <c r="G7" s="15" t="s">
        <v>174</v>
      </c>
      <c r="H7" s="15" t="s">
        <v>48</v>
      </c>
      <c r="I7" s="15" t="s">
        <v>70</v>
      </c>
      <c r="J7" s="15" t="s">
        <v>82</v>
      </c>
      <c r="K7" s="15" t="s">
        <v>97</v>
      </c>
      <c r="L7" s="15"/>
      <c r="M7" s="15" t="s">
        <v>478</v>
      </c>
      <c r="N7" s="15" t="s">
        <v>179</v>
      </c>
      <c r="O7" s="15" t="s">
        <v>330</v>
      </c>
      <c r="P7" s="15" t="s">
        <v>328</v>
      </c>
    </row>
    <row r="8" customFormat="false" ht="35.05" hidden="false" customHeight="false" outlineLevel="0" collapsed="false">
      <c r="A8" s="15" t="s">
        <v>479</v>
      </c>
      <c r="B8" s="15" t="s">
        <v>333</v>
      </c>
      <c r="C8" s="15" t="s">
        <v>475</v>
      </c>
      <c r="D8" s="15" t="s">
        <v>480</v>
      </c>
      <c r="E8" s="15" t="s">
        <v>481</v>
      </c>
      <c r="F8" s="15" t="s">
        <v>178</v>
      </c>
      <c r="G8" s="15" t="s">
        <v>174</v>
      </c>
      <c r="H8" s="15" t="s">
        <v>48</v>
      </c>
      <c r="I8" s="15" t="s">
        <v>70</v>
      </c>
      <c r="J8" s="15" t="s">
        <v>82</v>
      </c>
      <c r="K8" s="15" t="s">
        <v>97</v>
      </c>
      <c r="L8" s="15" t="s">
        <v>482</v>
      </c>
      <c r="M8" s="15" t="s">
        <v>483</v>
      </c>
      <c r="N8" s="15" t="s">
        <v>179</v>
      </c>
      <c r="O8" s="15" t="s">
        <v>334</v>
      </c>
      <c r="P8" s="15" t="s">
        <v>484</v>
      </c>
    </row>
    <row r="9" customFormat="false" ht="35.05" hidden="false" customHeight="false" outlineLevel="0" collapsed="false">
      <c r="A9" s="14" t="s">
        <v>485</v>
      </c>
      <c r="B9" s="14" t="s">
        <v>338</v>
      </c>
      <c r="C9" s="14" t="s">
        <v>486</v>
      </c>
      <c r="D9" s="14" t="s">
        <v>487</v>
      </c>
      <c r="E9" s="14" t="s">
        <v>488</v>
      </c>
      <c r="F9" s="14" t="s">
        <v>161</v>
      </c>
      <c r="G9" s="14" t="s">
        <v>180</v>
      </c>
      <c r="H9" s="14" t="s">
        <v>52</v>
      </c>
      <c r="I9" s="14" t="s">
        <v>66</v>
      </c>
      <c r="J9" s="14" t="s">
        <v>82</v>
      </c>
      <c r="K9" s="14" t="s">
        <v>100</v>
      </c>
      <c r="L9" s="14"/>
      <c r="M9" s="14" t="s">
        <v>489</v>
      </c>
      <c r="N9" s="14" t="s">
        <v>184</v>
      </c>
      <c r="O9" s="14" t="s">
        <v>339</v>
      </c>
      <c r="P9" s="14" t="s">
        <v>337</v>
      </c>
    </row>
    <row r="10" customFormat="false" ht="23.85" hidden="false" customHeight="false" outlineLevel="0" collapsed="false">
      <c r="A10" s="15" t="s">
        <v>490</v>
      </c>
      <c r="B10" s="15" t="s">
        <v>345</v>
      </c>
      <c r="C10" s="15" t="s">
        <v>491</v>
      </c>
      <c r="D10" s="15" t="s">
        <v>492</v>
      </c>
      <c r="E10" s="15" t="s">
        <v>493</v>
      </c>
      <c r="F10" s="15" t="s">
        <v>178</v>
      </c>
      <c r="G10" s="15" t="s">
        <v>185</v>
      </c>
      <c r="H10" s="15" t="s">
        <v>52</v>
      </c>
      <c r="I10" s="15" t="s">
        <v>66</v>
      </c>
      <c r="J10" s="15" t="s">
        <v>85</v>
      </c>
      <c r="K10" s="15" t="s">
        <v>97</v>
      </c>
      <c r="L10" s="15"/>
      <c r="M10" s="15" t="s">
        <v>494</v>
      </c>
      <c r="N10" s="15" t="s">
        <v>189</v>
      </c>
      <c r="O10" s="15" t="s">
        <v>495</v>
      </c>
      <c r="P10" s="15" t="s">
        <v>344</v>
      </c>
    </row>
    <row r="11" customFormat="false" ht="35.05" hidden="false" customHeight="false" outlineLevel="0" collapsed="false">
      <c r="A11" s="16" t="s">
        <v>496</v>
      </c>
      <c r="B11" s="16" t="s">
        <v>352</v>
      </c>
      <c r="C11" s="16" t="s">
        <v>497</v>
      </c>
      <c r="D11" s="16" t="s">
        <v>498</v>
      </c>
      <c r="E11" s="16" t="s">
        <v>499</v>
      </c>
      <c r="F11" s="16" t="s">
        <v>172</v>
      </c>
      <c r="G11" s="16" t="s">
        <v>190</v>
      </c>
      <c r="H11" s="16" t="s">
        <v>52</v>
      </c>
      <c r="I11" s="16" t="s">
        <v>70</v>
      </c>
      <c r="J11" s="16" t="s">
        <v>85</v>
      </c>
      <c r="K11" s="16" t="s">
        <v>100</v>
      </c>
      <c r="L11" s="16"/>
      <c r="M11" s="16" t="s">
        <v>500</v>
      </c>
      <c r="N11" s="16" t="s">
        <v>194</v>
      </c>
      <c r="O11" s="16" t="s">
        <v>501</v>
      </c>
      <c r="P11" s="16" t="s">
        <v>351</v>
      </c>
    </row>
    <row r="12" customFormat="false" ht="23.85" hidden="false" customHeight="false" outlineLevel="0" collapsed="false">
      <c r="A12" s="15" t="s">
        <v>502</v>
      </c>
      <c r="B12" s="15" t="s">
        <v>362</v>
      </c>
      <c r="C12" s="15" t="s">
        <v>503</v>
      </c>
      <c r="D12" s="15" t="s">
        <v>504</v>
      </c>
      <c r="E12" s="15" t="s">
        <v>505</v>
      </c>
      <c r="F12" s="15" t="s">
        <v>178</v>
      </c>
      <c r="G12" s="15" t="s">
        <v>195</v>
      </c>
      <c r="H12" s="15" t="s">
        <v>52</v>
      </c>
      <c r="I12" s="15" t="s">
        <v>73</v>
      </c>
      <c r="J12" s="15" t="s">
        <v>82</v>
      </c>
      <c r="K12" s="15" t="s">
        <v>97</v>
      </c>
      <c r="L12" s="15"/>
      <c r="M12" s="15" t="s">
        <v>506</v>
      </c>
      <c r="N12" s="15" t="s">
        <v>199</v>
      </c>
      <c r="O12" s="15" t="s">
        <v>360</v>
      </c>
      <c r="P12" s="15" t="s">
        <v>507</v>
      </c>
    </row>
    <row r="13" customFormat="false" ht="35.05" hidden="false" customHeight="false" outlineLevel="0" collapsed="false">
      <c r="A13" s="16" t="s">
        <v>508</v>
      </c>
      <c r="B13" s="16" t="s">
        <v>368</v>
      </c>
      <c r="C13" s="16" t="s">
        <v>509</v>
      </c>
      <c r="D13" s="16" t="s">
        <v>510</v>
      </c>
      <c r="E13" s="16" t="s">
        <v>511</v>
      </c>
      <c r="F13" s="16" t="s">
        <v>172</v>
      </c>
      <c r="G13" s="16" t="s">
        <v>200</v>
      </c>
      <c r="H13" s="16" t="s">
        <v>56</v>
      </c>
      <c r="I13" s="16" t="s">
        <v>66</v>
      </c>
      <c r="J13" s="16" t="s">
        <v>82</v>
      </c>
      <c r="K13" s="16" t="s">
        <v>100</v>
      </c>
      <c r="L13" s="16"/>
      <c r="M13" s="16" t="s">
        <v>512</v>
      </c>
      <c r="N13" s="16" t="s">
        <v>204</v>
      </c>
      <c r="O13" s="16" t="s">
        <v>369</v>
      </c>
      <c r="P13" s="16" t="s">
        <v>367</v>
      </c>
    </row>
    <row r="14" customFormat="false" ht="23.85" hidden="false" customHeight="false" outlineLevel="0" collapsed="false">
      <c r="A14" s="16" t="s">
        <v>513</v>
      </c>
      <c r="B14" s="16" t="s">
        <v>374</v>
      </c>
      <c r="C14" s="16" t="s">
        <v>509</v>
      </c>
      <c r="D14" s="16" t="s">
        <v>514</v>
      </c>
      <c r="E14" s="16" t="s">
        <v>515</v>
      </c>
      <c r="F14" s="16" t="s">
        <v>172</v>
      </c>
      <c r="G14" s="16" t="s">
        <v>200</v>
      </c>
      <c r="H14" s="16" t="s">
        <v>56</v>
      </c>
      <c r="I14" s="16" t="s">
        <v>66</v>
      </c>
      <c r="J14" s="16" t="s">
        <v>82</v>
      </c>
      <c r="K14" s="16" t="s">
        <v>100</v>
      </c>
      <c r="L14" s="16" t="s">
        <v>516</v>
      </c>
      <c r="M14" s="16" t="s">
        <v>472</v>
      </c>
      <c r="N14" s="16" t="s">
        <v>517</v>
      </c>
      <c r="O14" s="16" t="s">
        <v>372</v>
      </c>
      <c r="P14" s="16" t="s">
        <v>518</v>
      </c>
    </row>
    <row r="15" customFormat="false" ht="35.05" hidden="false" customHeight="false" outlineLevel="0" collapsed="false">
      <c r="A15" s="16" t="s">
        <v>519</v>
      </c>
      <c r="B15" s="16" t="s">
        <v>376</v>
      </c>
      <c r="C15" s="16" t="s">
        <v>520</v>
      </c>
      <c r="D15" s="16" t="s">
        <v>521</v>
      </c>
      <c r="E15" s="16" t="s">
        <v>522</v>
      </c>
      <c r="F15" s="16" t="s">
        <v>172</v>
      </c>
      <c r="G15" s="16" t="s">
        <v>205</v>
      </c>
      <c r="H15" s="16" t="s">
        <v>56</v>
      </c>
      <c r="I15" s="16" t="s">
        <v>76</v>
      </c>
      <c r="J15" s="16" t="s">
        <v>82</v>
      </c>
      <c r="K15" s="16" t="s">
        <v>100</v>
      </c>
      <c r="L15" s="16"/>
      <c r="M15" s="16" t="s">
        <v>523</v>
      </c>
      <c r="N15" s="16" t="s">
        <v>209</v>
      </c>
      <c r="O15" s="16" t="s">
        <v>524</v>
      </c>
      <c r="P15" s="16" t="s">
        <v>375</v>
      </c>
    </row>
    <row r="16" customFormat="false" ht="35.05" hidden="false" customHeight="false" outlineLevel="0" collapsed="false">
      <c r="A16" s="15" t="s">
        <v>525</v>
      </c>
      <c r="B16" s="15" t="s">
        <v>383</v>
      </c>
      <c r="C16" s="15" t="s">
        <v>526</v>
      </c>
      <c r="D16" s="15" t="s">
        <v>527</v>
      </c>
      <c r="E16" s="15" t="s">
        <v>528</v>
      </c>
      <c r="F16" s="15" t="s">
        <v>178</v>
      </c>
      <c r="G16" s="15" t="s">
        <v>210</v>
      </c>
      <c r="H16" s="15" t="s">
        <v>56</v>
      </c>
      <c r="I16" s="15" t="s">
        <v>66</v>
      </c>
      <c r="J16" s="15" t="s">
        <v>89</v>
      </c>
      <c r="K16" s="15" t="s">
        <v>97</v>
      </c>
      <c r="L16" s="15"/>
      <c r="M16" s="15" t="s">
        <v>529</v>
      </c>
      <c r="N16" s="15" t="s">
        <v>214</v>
      </c>
      <c r="O16" s="15" t="s">
        <v>384</v>
      </c>
      <c r="P16" s="15" t="s">
        <v>382</v>
      </c>
    </row>
    <row r="17" customFormat="false" ht="23.85" hidden="false" customHeight="false" outlineLevel="0" collapsed="false">
      <c r="A17" s="15" t="s">
        <v>530</v>
      </c>
      <c r="B17" s="15" t="s">
        <v>389</v>
      </c>
      <c r="C17" s="15" t="s">
        <v>526</v>
      </c>
      <c r="D17" s="15" t="s">
        <v>531</v>
      </c>
      <c r="E17" s="15" t="s">
        <v>532</v>
      </c>
      <c r="F17" s="15" t="s">
        <v>178</v>
      </c>
      <c r="G17" s="15" t="s">
        <v>210</v>
      </c>
      <c r="H17" s="15" t="s">
        <v>56</v>
      </c>
      <c r="I17" s="15" t="s">
        <v>66</v>
      </c>
      <c r="J17" s="15" t="s">
        <v>89</v>
      </c>
      <c r="K17" s="15" t="s">
        <v>97</v>
      </c>
      <c r="L17" s="15" t="s">
        <v>533</v>
      </c>
      <c r="M17" s="15" t="s">
        <v>472</v>
      </c>
      <c r="N17" s="15" t="s">
        <v>517</v>
      </c>
      <c r="O17" s="15" t="s">
        <v>387</v>
      </c>
      <c r="P17" s="15" t="s">
        <v>534</v>
      </c>
    </row>
    <row r="18" customFormat="false" ht="23.85" hidden="false" customHeight="false" outlineLevel="0" collapsed="false">
      <c r="A18" s="16" t="s">
        <v>535</v>
      </c>
      <c r="B18" s="16" t="s">
        <v>391</v>
      </c>
      <c r="C18" s="16" t="s">
        <v>536</v>
      </c>
      <c r="D18" s="16" t="s">
        <v>537</v>
      </c>
      <c r="E18" s="16" t="s">
        <v>538</v>
      </c>
      <c r="F18" s="16" t="s">
        <v>172</v>
      </c>
      <c r="G18" s="16" t="s">
        <v>215</v>
      </c>
      <c r="H18" s="16" t="s">
        <v>60</v>
      </c>
      <c r="I18" s="16" t="s">
        <v>66</v>
      </c>
      <c r="J18" s="16" t="s">
        <v>82</v>
      </c>
      <c r="K18" s="16" t="s">
        <v>100</v>
      </c>
      <c r="L18" s="16"/>
      <c r="M18" s="16" t="s">
        <v>539</v>
      </c>
      <c r="N18" s="16" t="s">
        <v>219</v>
      </c>
      <c r="O18" s="16" t="s">
        <v>392</v>
      </c>
      <c r="P18" s="16" t="s">
        <v>390</v>
      </c>
    </row>
    <row r="19" customFormat="false" ht="35.05" hidden="false" customHeight="false" outlineLevel="0" collapsed="false">
      <c r="A19" s="16" t="s">
        <v>540</v>
      </c>
      <c r="B19" s="16" t="s">
        <v>394</v>
      </c>
      <c r="C19" s="16" t="s">
        <v>536</v>
      </c>
      <c r="D19" s="16" t="s">
        <v>541</v>
      </c>
      <c r="E19" s="16" t="s">
        <v>542</v>
      </c>
      <c r="F19" s="16" t="s">
        <v>172</v>
      </c>
      <c r="G19" s="16" t="s">
        <v>215</v>
      </c>
      <c r="H19" s="16" t="s">
        <v>60</v>
      </c>
      <c r="I19" s="16" t="s">
        <v>66</v>
      </c>
      <c r="J19" s="16" t="s">
        <v>82</v>
      </c>
      <c r="K19" s="16" t="s">
        <v>100</v>
      </c>
      <c r="L19" s="16" t="s">
        <v>543</v>
      </c>
      <c r="M19" s="16" t="s">
        <v>544</v>
      </c>
      <c r="N19" s="16" t="s">
        <v>545</v>
      </c>
      <c r="O19" s="16" t="s">
        <v>395</v>
      </c>
      <c r="P19" s="16" t="s">
        <v>546</v>
      </c>
    </row>
    <row r="20" customFormat="false" ht="23.85" hidden="false" customHeight="false" outlineLevel="0" collapsed="false">
      <c r="A20" s="14" t="s">
        <v>547</v>
      </c>
      <c r="B20" s="14" t="s">
        <v>398</v>
      </c>
      <c r="C20" s="14" t="s">
        <v>548</v>
      </c>
      <c r="D20" s="14" t="s">
        <v>549</v>
      </c>
      <c r="E20" s="14" t="s">
        <v>550</v>
      </c>
      <c r="F20" s="14" t="s">
        <v>161</v>
      </c>
      <c r="G20" s="14" t="s">
        <v>220</v>
      </c>
      <c r="H20" s="14" t="s">
        <v>60</v>
      </c>
      <c r="I20" s="14" t="s">
        <v>66</v>
      </c>
      <c r="J20" s="14" t="s">
        <v>82</v>
      </c>
      <c r="K20" s="14" t="s">
        <v>97</v>
      </c>
      <c r="L20" s="14"/>
      <c r="M20" s="14" t="s">
        <v>551</v>
      </c>
      <c r="N20" s="14" t="s">
        <v>224</v>
      </c>
      <c r="O20" s="14" t="s">
        <v>552</v>
      </c>
      <c r="P20" s="14" t="s">
        <v>397</v>
      </c>
    </row>
    <row r="21" customFormat="false" ht="35.05" hidden="false" customHeight="false" outlineLevel="0" collapsed="false">
      <c r="A21" s="16" t="s">
        <v>553</v>
      </c>
      <c r="B21" s="16" t="s">
        <v>405</v>
      </c>
      <c r="C21" s="16" t="s">
        <v>554</v>
      </c>
      <c r="D21" s="16" t="s">
        <v>555</v>
      </c>
      <c r="E21" s="16" t="s">
        <v>556</v>
      </c>
      <c r="F21" s="16" t="s">
        <v>172</v>
      </c>
      <c r="G21" s="16" t="s">
        <v>225</v>
      </c>
      <c r="H21" s="16" t="s">
        <v>60</v>
      </c>
      <c r="I21" s="16" t="s">
        <v>73</v>
      </c>
      <c r="J21" s="16" t="s">
        <v>89</v>
      </c>
      <c r="K21" s="16" t="s">
        <v>97</v>
      </c>
      <c r="L21" s="16"/>
      <c r="M21" s="16" t="s">
        <v>557</v>
      </c>
      <c r="N21" s="16" t="s">
        <v>229</v>
      </c>
      <c r="O21" s="16" t="s">
        <v>406</v>
      </c>
      <c r="P21" s="16" t="s">
        <v>404</v>
      </c>
    </row>
    <row r="22" customFormat="false" ht="35.05" hidden="false" customHeight="false" outlineLevel="0" collapsed="false">
      <c r="A22" s="16" t="s">
        <v>558</v>
      </c>
      <c r="B22" s="16" t="s">
        <v>411</v>
      </c>
      <c r="C22" s="16" t="s">
        <v>554</v>
      </c>
      <c r="D22" s="16" t="s">
        <v>559</v>
      </c>
      <c r="E22" s="16" t="s">
        <v>560</v>
      </c>
      <c r="F22" s="16" t="s">
        <v>172</v>
      </c>
      <c r="G22" s="16" t="s">
        <v>225</v>
      </c>
      <c r="H22" s="16" t="s">
        <v>60</v>
      </c>
      <c r="I22" s="16" t="s">
        <v>73</v>
      </c>
      <c r="J22" s="16" t="s">
        <v>89</v>
      </c>
      <c r="K22" s="16" t="s">
        <v>97</v>
      </c>
      <c r="L22" s="16" t="s">
        <v>561</v>
      </c>
      <c r="M22" s="16" t="s">
        <v>472</v>
      </c>
      <c r="N22" s="16" t="s">
        <v>562</v>
      </c>
      <c r="O22" s="16" t="s">
        <v>409</v>
      </c>
      <c r="P22" s="16" t="s">
        <v>563</v>
      </c>
    </row>
    <row r="23" customFormat="false" ht="35.05" hidden="false" customHeight="false" outlineLevel="0" collapsed="false">
      <c r="A23" s="15" t="s">
        <v>564</v>
      </c>
      <c r="B23" s="15" t="s">
        <v>413</v>
      </c>
      <c r="C23" s="15" t="s">
        <v>565</v>
      </c>
      <c r="D23" s="15" t="s">
        <v>566</v>
      </c>
      <c r="E23" s="15" t="s">
        <v>567</v>
      </c>
      <c r="F23" s="15" t="s">
        <v>178</v>
      </c>
      <c r="G23" s="15" t="s">
        <v>230</v>
      </c>
      <c r="H23" s="15" t="s">
        <v>48</v>
      </c>
      <c r="I23" s="15" t="s">
        <v>66</v>
      </c>
      <c r="J23" s="15" t="s">
        <v>92</v>
      </c>
      <c r="K23" s="15" t="s">
        <v>100</v>
      </c>
      <c r="L23" s="15"/>
      <c r="M23" s="15" t="s">
        <v>568</v>
      </c>
      <c r="N23" s="15" t="s">
        <v>234</v>
      </c>
      <c r="O23" s="15" t="s">
        <v>569</v>
      </c>
      <c r="P23" s="15" t="s">
        <v>412</v>
      </c>
    </row>
    <row r="24" customFormat="false" ht="35.05" hidden="false" customHeight="false" outlineLevel="0" collapsed="false">
      <c r="A24" s="15" t="s">
        <v>570</v>
      </c>
      <c r="B24" s="15" t="s">
        <v>355</v>
      </c>
      <c r="C24" s="15" t="s">
        <v>571</v>
      </c>
      <c r="D24" s="15" t="s">
        <v>572</v>
      </c>
      <c r="E24" s="15" t="s">
        <v>573</v>
      </c>
      <c r="F24" s="15" t="s">
        <v>178</v>
      </c>
      <c r="G24" s="15" t="s">
        <v>235</v>
      </c>
      <c r="H24" s="15" t="s">
        <v>52</v>
      </c>
      <c r="I24" s="15" t="s">
        <v>66</v>
      </c>
      <c r="J24" s="15" t="s">
        <v>85</v>
      </c>
      <c r="K24" s="15" t="s">
        <v>100</v>
      </c>
      <c r="L24" s="15"/>
      <c r="M24" s="15" t="s">
        <v>574</v>
      </c>
      <c r="N24" s="15" t="s">
        <v>239</v>
      </c>
      <c r="O24" s="15" t="s">
        <v>356</v>
      </c>
      <c r="P24" s="15" t="s">
        <v>575</v>
      </c>
    </row>
    <row r="25" customFormat="false" ht="23.85" hidden="false" customHeight="false" outlineLevel="0" collapsed="false">
      <c r="A25" s="16" t="s">
        <v>576</v>
      </c>
      <c r="B25" s="16" t="s">
        <v>420</v>
      </c>
      <c r="C25" s="16" t="s">
        <v>577</v>
      </c>
      <c r="D25" s="16" t="s">
        <v>578</v>
      </c>
      <c r="E25" s="16" t="s">
        <v>579</v>
      </c>
      <c r="F25" s="16" t="s">
        <v>172</v>
      </c>
      <c r="G25" s="16" t="s">
        <v>240</v>
      </c>
      <c r="H25" s="16" t="s">
        <v>60</v>
      </c>
      <c r="I25" s="16" t="s">
        <v>66</v>
      </c>
      <c r="J25" s="16" t="s">
        <v>92</v>
      </c>
      <c r="K25" s="16" t="s">
        <v>100</v>
      </c>
      <c r="L25" s="16"/>
      <c r="M25" s="16" t="s">
        <v>580</v>
      </c>
      <c r="N25" s="16" t="s">
        <v>244</v>
      </c>
      <c r="O25" s="16" t="s">
        <v>421</v>
      </c>
      <c r="P25" s="16" t="s">
        <v>581</v>
      </c>
    </row>
    <row r="26" customFormat="false" ht="35.05" hidden="false" customHeight="false" outlineLevel="0" collapsed="false">
      <c r="A26" s="16" t="s">
        <v>582</v>
      </c>
      <c r="B26" s="16" t="s">
        <v>341</v>
      </c>
      <c r="C26" s="16" t="s">
        <v>583</v>
      </c>
      <c r="D26" s="16" t="s">
        <v>584</v>
      </c>
      <c r="E26" s="16" t="s">
        <v>585</v>
      </c>
      <c r="F26" s="16" t="s">
        <v>172</v>
      </c>
      <c r="G26" s="16" t="s">
        <v>245</v>
      </c>
      <c r="H26" s="16" t="s">
        <v>52</v>
      </c>
      <c r="I26" s="16" t="s">
        <v>76</v>
      </c>
      <c r="J26" s="16" t="s">
        <v>82</v>
      </c>
      <c r="K26" s="16" t="s">
        <v>100</v>
      </c>
      <c r="L26" s="16"/>
      <c r="M26" s="16" t="s">
        <v>586</v>
      </c>
      <c r="N26" s="16" t="s">
        <v>249</v>
      </c>
      <c r="O26" s="16" t="s">
        <v>342</v>
      </c>
      <c r="P26" s="16" t="s">
        <v>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6"/>
    <col collapsed="false" customWidth="true" hidden="false" outlineLevel="0" max="3" min="3" style="0" width="34"/>
    <col collapsed="false" customWidth="true" hidden="false" outlineLevel="0" max="4" min="4" style="0" width="12"/>
    <col collapsed="false" customWidth="true" hidden="false" outlineLevel="0" max="5" min="5" style="0" width="16"/>
    <col collapsed="false" customWidth="true" hidden="false" outlineLevel="0" max="6" min="6" style="0" width="48"/>
  </cols>
  <sheetData>
    <row r="1" customFormat="false" ht="15" hidden="false" customHeight="false" outlineLevel="0" collapsed="false">
      <c r="A1" s="5" t="s">
        <v>588</v>
      </c>
      <c r="B1" s="5" t="s">
        <v>589</v>
      </c>
      <c r="C1" s="5" t="s">
        <v>590</v>
      </c>
      <c r="D1" s="5" t="s">
        <v>591</v>
      </c>
      <c r="E1" s="5" t="s">
        <v>592</v>
      </c>
      <c r="F1" s="5" t="s">
        <v>593</v>
      </c>
    </row>
    <row r="2" customFormat="false" ht="15" hidden="false" customHeight="false" outlineLevel="0" collapsed="false">
      <c r="A2" s="8" t="s">
        <v>253</v>
      </c>
      <c r="B2" s="8" t="s">
        <v>594</v>
      </c>
      <c r="C2" s="8" t="s">
        <v>595</v>
      </c>
      <c r="D2" s="8" t="n">
        <f aca="false">COUNTA(4_Dataset_v1_1!$A$2:$A$26)</f>
        <v>25</v>
      </c>
      <c r="E2" s="8" t="str">
        <f aca="false">IF(AND(D2&gt;=20,D2&lt;=30),"ĐẠT","CHƯA ĐẠT")</f>
        <v>ĐẠT</v>
      </c>
      <c r="F2" s="8" t="s">
        <v>596</v>
      </c>
    </row>
    <row r="3" customFormat="false" ht="15" hidden="false" customHeight="false" outlineLevel="0" collapsed="false">
      <c r="A3" s="8" t="s">
        <v>256</v>
      </c>
      <c r="B3" s="8" t="s">
        <v>597</v>
      </c>
      <c r="C3" s="8" t="s">
        <v>598</v>
      </c>
      <c r="D3" s="8" t="n">
        <f aca="false">COUNTIF(4_Dataset_v1_1!$H$2:$H$26,"absent")</f>
        <v>6</v>
      </c>
      <c r="E3" s="8" t="str">
        <f aca="false">IF(D3&gt;=2,"ĐẠT","CHƯA ĐẠT")</f>
        <v>ĐẠT</v>
      </c>
      <c r="F3" s="8" t="s">
        <v>599</v>
      </c>
    </row>
    <row r="4" customFormat="false" ht="15" hidden="false" customHeight="false" outlineLevel="0" collapsed="false">
      <c r="A4" s="8" t="s">
        <v>259</v>
      </c>
      <c r="B4" s="8" t="s">
        <v>600</v>
      </c>
      <c r="C4" s="8" t="s">
        <v>598</v>
      </c>
      <c r="D4" s="8" t="n">
        <f aca="false">COUNTIF(4_Dataset_v1_1!$I$2:$I$26,"missing_referent")+COUNTIF(4_Dataset_v1_1!$I$2:$I$26,"multi_intent")</f>
        <v>6</v>
      </c>
      <c r="E4" s="8" t="str">
        <f aca="false">IF(D4&gt;=2,"ĐẠT","CHƯA ĐẠT")</f>
        <v>ĐẠT</v>
      </c>
      <c r="F4" s="8" t="s">
        <v>599</v>
      </c>
    </row>
    <row r="5" customFormat="false" ht="15" hidden="false" customHeight="false" outlineLevel="0" collapsed="false">
      <c r="A5" s="8" t="s">
        <v>262</v>
      </c>
      <c r="B5" s="8" t="s">
        <v>601</v>
      </c>
      <c r="C5" s="8" t="s">
        <v>598</v>
      </c>
      <c r="D5" s="8" t="n">
        <f aca="false">COUNTIF(4_Dataset_v1_1!$F$2:$F$26,"critical_regression")</f>
        <v>12</v>
      </c>
      <c r="E5" s="8" t="str">
        <f aca="false">IF(D5&gt;=2,"ĐẠT","CHƯA ĐẠT")</f>
        <v>ĐẠT</v>
      </c>
      <c r="F5" s="8" t="s">
        <v>599</v>
      </c>
    </row>
    <row r="6" customFormat="false" ht="15" hidden="false" customHeight="false" outlineLevel="0" collapsed="false">
      <c r="A6" s="8" t="s">
        <v>265</v>
      </c>
      <c r="B6" s="8" t="s">
        <v>602</v>
      </c>
      <c r="C6" s="8" t="n">
        <f aca="false">18</f>
        <v>18</v>
      </c>
      <c r="D6" s="8" t="n">
        <f aca="true">SUMPRODUCT((COUNTIF(4_Dataset_v1_1!$G$2:$G$26,"CB-"&amp;TEXT(ROW(INDIRECT("1:18")),"00"))&gt;0)*1)</f>
        <v>18</v>
      </c>
      <c r="E6" s="8" t="str">
        <f aca="false">IF(D6=18,"ĐẠT","CHƯA ĐẠT")</f>
        <v>ĐẠT</v>
      </c>
      <c r="F6" s="8" t="s">
        <v>603</v>
      </c>
    </row>
    <row r="7" customFormat="false" ht="15" hidden="false" customHeight="false" outlineLevel="0" collapsed="false">
      <c r="A7" s="8" t="s">
        <v>604</v>
      </c>
      <c r="B7" s="8" t="s">
        <v>605</v>
      </c>
      <c r="C7" s="8" t="s">
        <v>606</v>
      </c>
      <c r="D7" s="17" t="n">
        <f aca="false">COUNTIF(4_Dataset_v1_1!$F$2:$F$26,"representative")/D2</f>
        <v>0.2</v>
      </c>
      <c r="E7" s="8" t="str">
        <f aca="false">IF(D7&lt;=0.4,"ĐẠT","CHƯA ĐẠT")</f>
        <v>ĐẠT</v>
      </c>
      <c r="F7" s="8" t="s">
        <v>607</v>
      </c>
    </row>
    <row r="8" customFormat="false" ht="23.85" hidden="false" customHeight="false" outlineLevel="0" collapsed="false">
      <c r="A8" s="8" t="s">
        <v>608</v>
      </c>
      <c r="B8" s="8" t="s">
        <v>609</v>
      </c>
      <c r="C8" s="8" t="s">
        <v>610</v>
      </c>
      <c r="D8" s="8" t="n">
        <f aca="false">COUNTA(4_Dataset_v1_1!$L$2:$L$26)-(D2-D6)</f>
        <v>0</v>
      </c>
      <c r="E8" s="8" t="str">
        <f aca="false">IF(D8=0,"ĐẠT","CHƯA ĐẠT — có row thứ hai không nêu được tiêu chí riêng")</f>
        <v>ĐẠT</v>
      </c>
      <c r="F8" s="8" t="s">
        <v>611</v>
      </c>
    </row>
    <row r="10" customFormat="false" ht="15" hidden="false" customHeight="false" outlineLevel="0" collapsed="false">
      <c r="A10" s="1" t="s">
        <v>612</v>
      </c>
      <c r="B10" s="12"/>
      <c r="C10" s="12"/>
      <c r="D10" s="12"/>
      <c r="E10" s="12"/>
      <c r="F10" s="12"/>
    </row>
    <row r="11" customFormat="false" ht="15" hidden="false" customHeight="false" outlineLevel="0" collapsed="false">
      <c r="A11" s="5" t="s">
        <v>588</v>
      </c>
      <c r="B11" s="5" t="s">
        <v>40</v>
      </c>
      <c r="C11" s="5" t="s">
        <v>42</v>
      </c>
      <c r="D11" s="5" t="s">
        <v>613</v>
      </c>
      <c r="E11" s="5" t="s">
        <v>614</v>
      </c>
      <c r="F11" s="5" t="s">
        <v>116</v>
      </c>
    </row>
    <row r="12" customFormat="false" ht="15" hidden="false" customHeight="false" outlineLevel="0" collapsed="false">
      <c r="A12" s="8" t="n">
        <v>1</v>
      </c>
      <c r="B12" s="8" t="s">
        <v>615</v>
      </c>
      <c r="C12" s="8" t="s">
        <v>48</v>
      </c>
      <c r="D12" s="8" t="n">
        <f aca="false">COUNTIF(4_Dataset_v1_1!$H$2:$H$26,"available")</f>
        <v>8</v>
      </c>
      <c r="E12" s="17" t="n">
        <f aca="false">D12/$D$2</f>
        <v>0.32</v>
      </c>
      <c r="F12" s="8"/>
    </row>
    <row r="13" customFormat="false" ht="15" hidden="false" customHeight="false" outlineLevel="0" collapsed="false">
      <c r="A13" s="8" t="n">
        <v>2</v>
      </c>
      <c r="B13" s="8" t="s">
        <v>615</v>
      </c>
      <c r="C13" s="8" t="s">
        <v>52</v>
      </c>
      <c r="D13" s="8" t="n">
        <f aca="false">COUNTIF(4_Dataset_v1_1!$H$2:$H$26,"scattered")</f>
        <v>6</v>
      </c>
      <c r="E13" s="17" t="n">
        <f aca="false">D13/$D$2</f>
        <v>0.24</v>
      </c>
      <c r="F13" s="8"/>
    </row>
    <row r="14" customFormat="false" ht="15" hidden="false" customHeight="false" outlineLevel="0" collapsed="false">
      <c r="A14" s="8" t="n">
        <v>3</v>
      </c>
      <c r="B14" s="8" t="s">
        <v>615</v>
      </c>
      <c r="C14" s="8" t="s">
        <v>56</v>
      </c>
      <c r="D14" s="8" t="n">
        <f aca="false">COUNTIF(4_Dataset_v1_1!$H$2:$H$26,"partial")</f>
        <v>5</v>
      </c>
      <c r="E14" s="17" t="n">
        <f aca="false">D14/$D$2</f>
        <v>0.2</v>
      </c>
      <c r="F14" s="8"/>
    </row>
    <row r="15" customFormat="false" ht="15" hidden="false" customHeight="false" outlineLevel="0" collapsed="false">
      <c r="A15" s="8" t="n">
        <v>4</v>
      </c>
      <c r="B15" s="8" t="s">
        <v>615</v>
      </c>
      <c r="C15" s="8" t="s">
        <v>60</v>
      </c>
      <c r="D15" s="8" t="n">
        <f aca="false">COUNTIF(4_Dataset_v1_1!$H$2:$H$26,"absent")</f>
        <v>6</v>
      </c>
      <c r="E15" s="17" t="n">
        <f aca="false">D15/$D$2</f>
        <v>0.24</v>
      </c>
      <c r="F15" s="8"/>
    </row>
    <row r="16" customFormat="false" ht="23.85" hidden="false" customHeight="false" outlineLevel="0" collapsed="false">
      <c r="A16" s="8" t="n">
        <v>5</v>
      </c>
      <c r="B16" s="8" t="s">
        <v>616</v>
      </c>
      <c r="C16" s="8" t="s">
        <v>66</v>
      </c>
      <c r="D16" s="8" t="n">
        <f aca="false">COUNTIF(4_Dataset_v1_1!$I$2:$I$26,"clear")</f>
        <v>15</v>
      </c>
      <c r="E16" s="17" t="n">
        <f aca="false">D16/$D$2</f>
        <v>0.6</v>
      </c>
      <c r="F16" s="8" t="s">
        <v>617</v>
      </c>
    </row>
    <row r="17" customFormat="false" ht="15" hidden="false" customHeight="false" outlineLevel="0" collapsed="false">
      <c r="A17" s="8" t="n">
        <v>6</v>
      </c>
      <c r="B17" s="8" t="s">
        <v>616</v>
      </c>
      <c r="C17" s="8" t="s">
        <v>70</v>
      </c>
      <c r="D17" s="8" t="n">
        <f aca="false">COUNTIF(4_Dataset_v1_1!$I$2:$I$26,"missing_referent")</f>
        <v>3</v>
      </c>
      <c r="E17" s="17" t="n">
        <f aca="false">D17/$D$2</f>
        <v>0.12</v>
      </c>
      <c r="F17" s="8"/>
    </row>
    <row r="18" customFormat="false" ht="15" hidden="false" customHeight="false" outlineLevel="0" collapsed="false">
      <c r="A18" s="8" t="n">
        <v>7</v>
      </c>
      <c r="B18" s="8" t="s">
        <v>616</v>
      </c>
      <c r="C18" s="8" t="s">
        <v>73</v>
      </c>
      <c r="D18" s="8" t="n">
        <f aca="false">COUNTIF(4_Dataset_v1_1!$I$2:$I$26,"multi_intent")</f>
        <v>3</v>
      </c>
      <c r="E18" s="17" t="n">
        <f aca="false">D18/$D$2</f>
        <v>0.12</v>
      </c>
      <c r="F18" s="8"/>
    </row>
    <row r="19" customFormat="false" ht="15" hidden="false" customHeight="false" outlineLevel="0" collapsed="false">
      <c r="A19" s="8" t="n">
        <v>8</v>
      </c>
      <c r="B19" s="8" t="s">
        <v>616</v>
      </c>
      <c r="C19" s="8" t="s">
        <v>76</v>
      </c>
      <c r="D19" s="8" t="n">
        <f aca="false">COUNTIF(4_Dataset_v1_1!$I$2:$I$26,"false_premise")</f>
        <v>4</v>
      </c>
      <c r="E19" s="17" t="n">
        <f aca="false">D19/$D$2</f>
        <v>0.16</v>
      </c>
      <c r="F19" s="8"/>
    </row>
    <row r="20" customFormat="false" ht="23.85" hidden="false" customHeight="false" outlineLevel="0" collapsed="false">
      <c r="A20" s="8" t="n">
        <v>9</v>
      </c>
      <c r="B20" s="8" t="s">
        <v>618</v>
      </c>
      <c r="C20" s="8" t="s">
        <v>82</v>
      </c>
      <c r="D20" s="8" t="n">
        <f aca="false">COUNTIF(4_Dataset_v1_1!$J$2:$J$26,"explain_concept")</f>
        <v>14</v>
      </c>
      <c r="E20" s="17" t="n">
        <f aca="false">D20/$D$2</f>
        <v>0.56</v>
      </c>
      <c r="F20" s="8" t="s">
        <v>619</v>
      </c>
    </row>
    <row r="21" customFormat="false" ht="15" hidden="false" customHeight="false" outlineLevel="0" collapsed="false">
      <c r="A21" s="8" t="n">
        <v>10</v>
      </c>
      <c r="B21" s="8" t="s">
        <v>618</v>
      </c>
      <c r="C21" s="8" t="s">
        <v>85</v>
      </c>
      <c r="D21" s="8" t="n">
        <f aca="false">COUNTIF(4_Dataset_v1_1!$J$2:$J$26,"distinguish_pair")</f>
        <v>5</v>
      </c>
      <c r="E21" s="17" t="n">
        <f aca="false">D21/$D$2</f>
        <v>0.2</v>
      </c>
      <c r="F21" s="8"/>
    </row>
    <row r="22" customFormat="false" ht="15" hidden="false" customHeight="false" outlineLevel="0" collapsed="false">
      <c r="A22" s="8" t="n">
        <v>11</v>
      </c>
      <c r="B22" s="8" t="s">
        <v>618</v>
      </c>
      <c r="C22" s="8" t="s">
        <v>89</v>
      </c>
      <c r="D22" s="8" t="n">
        <f aca="false">COUNTIF(4_Dataset_v1_1!$J$2:$J$26,"apply_to_own_case")</f>
        <v>4</v>
      </c>
      <c r="E22" s="17" t="n">
        <f aca="false">D22/$D$2</f>
        <v>0.16</v>
      </c>
      <c r="F22" s="8"/>
    </row>
    <row r="23" customFormat="false" ht="23.85" hidden="false" customHeight="false" outlineLevel="0" collapsed="false">
      <c r="A23" s="8" t="n">
        <v>12</v>
      </c>
      <c r="B23" s="8" t="s">
        <v>618</v>
      </c>
      <c r="C23" s="8" t="s">
        <v>92</v>
      </c>
      <c r="D23" s="8" t="n">
        <f aca="false">COUNTIF(4_Dataset_v1_1!$J$2:$J$26,"ask_for_answer")</f>
        <v>2</v>
      </c>
      <c r="E23" s="17" t="n">
        <f aca="false">D23/$D$2</f>
        <v>0.08</v>
      </c>
      <c r="F23" s="8" t="s">
        <v>620</v>
      </c>
    </row>
    <row r="24" customFormat="false" ht="23.85" hidden="false" customHeight="false" outlineLevel="0" collapsed="false">
      <c r="A24" s="8" t="n">
        <v>13</v>
      </c>
      <c r="B24" s="8" t="s">
        <v>621</v>
      </c>
      <c r="C24" s="8" t="s">
        <v>97</v>
      </c>
      <c r="D24" s="8" t="n">
        <f aca="false">COUNTIF(4_Dataset_v1_1!$K$2:$K$26,"vi_pure")</f>
        <v>11</v>
      </c>
      <c r="E24" s="17" t="n">
        <f aca="false">D24/$D$2</f>
        <v>0.44</v>
      </c>
      <c r="F24" s="8" t="s">
        <v>622</v>
      </c>
    </row>
    <row r="25" customFormat="false" ht="15" hidden="false" customHeight="false" outlineLevel="0" collapsed="false">
      <c r="A25" s="8" t="n">
        <v>14</v>
      </c>
      <c r="B25" s="8" t="s">
        <v>621</v>
      </c>
      <c r="C25" s="8" t="s">
        <v>100</v>
      </c>
      <c r="D25" s="8" t="n">
        <f aca="false">COUNTIF(4_Dataset_v1_1!$K$2:$K$26,"vi_en_mix")</f>
        <v>14</v>
      </c>
      <c r="E25" s="17" t="n">
        <f aca="false">D25/$D$2</f>
        <v>0.56</v>
      </c>
      <c r="F25" s="8"/>
    </row>
    <row r="27" customFormat="false" ht="15" hidden="false" customHeight="false" outlineLevel="0" collapsed="false">
      <c r="A27" s="1" t="s">
        <v>623</v>
      </c>
      <c r="B27" s="12"/>
      <c r="C27" s="12"/>
      <c r="D27" s="12"/>
      <c r="E27" s="12"/>
      <c r="F27" s="12"/>
    </row>
    <row r="28" customFormat="false" ht="23.85" hidden="false" customHeight="false" outlineLevel="0" collapsed="false">
      <c r="A28" s="11"/>
      <c r="B28" s="11" t="s">
        <v>624</v>
      </c>
      <c r="C28" s="11"/>
      <c r="D28" s="11"/>
      <c r="E28" s="11"/>
      <c r="F28" s="11"/>
    </row>
    <row r="29" customFormat="false" ht="46.25" hidden="false" customHeight="false" outlineLevel="0" collapsed="false">
      <c r="A29" s="11"/>
      <c r="B29" s="11" t="s">
        <v>625</v>
      </c>
      <c r="C29" s="11"/>
      <c r="D29" s="11"/>
      <c r="E29" s="11"/>
      <c r="F29" s="11"/>
    </row>
    <row r="30" customFormat="false" ht="35.05" hidden="false" customHeight="false" outlineLevel="0" collapsed="false">
      <c r="A30" s="11"/>
      <c r="B30" s="11" t="s">
        <v>626</v>
      </c>
      <c r="C30" s="11"/>
      <c r="D30" s="11"/>
      <c r="E30" s="11"/>
      <c r="F30"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78"/>
    <col collapsed="false" customWidth="true" hidden="false" outlineLevel="0" max="4" min="4" style="0" width="68"/>
    <col collapsed="false" customWidth="true" hidden="false" outlineLevel="0" max="5" min="5" style="0" width="74"/>
  </cols>
  <sheetData>
    <row r="1" customFormat="false" ht="15" hidden="false" customHeight="false" outlineLevel="0" collapsed="false">
      <c r="A1" s="5" t="s">
        <v>588</v>
      </c>
      <c r="B1" s="5" t="s">
        <v>627</v>
      </c>
      <c r="C1" s="5" t="s">
        <v>628</v>
      </c>
      <c r="D1" s="5" t="s">
        <v>629</v>
      </c>
      <c r="E1" s="5" t="s">
        <v>630</v>
      </c>
    </row>
    <row r="2" customFormat="false" ht="23.85" hidden="false" customHeight="false" outlineLevel="0" collapsed="false">
      <c r="A2" s="8" t="s">
        <v>253</v>
      </c>
      <c r="B2" s="8" t="s">
        <v>631</v>
      </c>
      <c r="C2" s="8" t="s">
        <v>632</v>
      </c>
      <c r="D2" s="8" t="s">
        <v>633</v>
      </c>
      <c r="E2" s="8" t="s">
        <v>634</v>
      </c>
    </row>
    <row r="3" customFormat="false" ht="15" hidden="false" customHeight="false" outlineLevel="0" collapsed="false">
      <c r="A3" s="8" t="s">
        <v>256</v>
      </c>
      <c r="B3" s="8" t="s">
        <v>635</v>
      </c>
      <c r="C3" s="8" t="s">
        <v>636</v>
      </c>
      <c r="D3" s="8" t="s">
        <v>637</v>
      </c>
      <c r="E3" s="8" t="s">
        <v>638</v>
      </c>
    </row>
    <row r="4" customFormat="false" ht="15" hidden="false" customHeight="false" outlineLevel="0" collapsed="false">
      <c r="A4" s="8" t="s">
        <v>259</v>
      </c>
      <c r="B4" s="8" t="s">
        <v>639</v>
      </c>
      <c r="C4" s="8" t="s">
        <v>640</v>
      </c>
      <c r="D4" s="8" t="s">
        <v>641</v>
      </c>
      <c r="E4" s="8" t="s">
        <v>642</v>
      </c>
    </row>
    <row r="5" customFormat="false" ht="23.85" hidden="false" customHeight="false" outlineLevel="0" collapsed="false">
      <c r="A5" s="8" t="s">
        <v>262</v>
      </c>
      <c r="B5" s="8" t="s">
        <v>643</v>
      </c>
      <c r="C5" s="8" t="s">
        <v>644</v>
      </c>
      <c r="D5" s="8" t="s">
        <v>645</v>
      </c>
      <c r="E5" s="8" t="s">
        <v>646</v>
      </c>
    </row>
    <row r="6" customFormat="false" ht="23.85" hidden="false" customHeight="false" outlineLevel="0" collapsed="false">
      <c r="A6" s="8" t="s">
        <v>265</v>
      </c>
      <c r="B6" s="8" t="s">
        <v>647</v>
      </c>
      <c r="C6" s="8" t="s">
        <v>648</v>
      </c>
      <c r="D6" s="8" t="s">
        <v>649</v>
      </c>
      <c r="E6" s="8" t="s">
        <v>650</v>
      </c>
    </row>
    <row r="7" customFormat="false" ht="23.85" hidden="false" customHeight="false" outlineLevel="0" collapsed="false">
      <c r="A7" s="8" t="s">
        <v>604</v>
      </c>
      <c r="B7" s="8" t="s">
        <v>651</v>
      </c>
      <c r="C7" s="8" t="s">
        <v>652</v>
      </c>
      <c r="D7" s="8" t="s">
        <v>653</v>
      </c>
      <c r="E7" s="8" t="s">
        <v>654</v>
      </c>
    </row>
    <row r="8" customFormat="false" ht="15" hidden="false" customHeight="false" outlineLevel="0" collapsed="false">
      <c r="A8" s="8" t="s">
        <v>608</v>
      </c>
      <c r="B8" s="8" t="s">
        <v>607</v>
      </c>
      <c r="C8" s="8" t="s">
        <v>655</v>
      </c>
      <c r="D8" s="8" t="s">
        <v>656</v>
      </c>
      <c r="E8" s="8" t="s">
        <v>657</v>
      </c>
    </row>
    <row r="9" customFormat="false" ht="23.85" hidden="false" customHeight="false" outlineLevel="0" collapsed="false">
      <c r="A9" s="8" t="s">
        <v>68</v>
      </c>
      <c r="B9" s="8" t="s">
        <v>658</v>
      </c>
      <c r="C9" s="8" t="s">
        <v>659</v>
      </c>
      <c r="D9" s="8"/>
      <c r="E9" s="8" t="s">
        <v>660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50"/>
  </cols>
  <sheetData>
    <row r="1" customFormat="false" ht="15" hidden="false" customHeight="false" outlineLevel="0" collapsed="false">
      <c r="A1" s="5" t="s">
        <v>661</v>
      </c>
      <c r="B1" s="5" t="s">
        <v>662</v>
      </c>
      <c r="C1" s="5" t="s">
        <v>663</v>
      </c>
    </row>
    <row r="2" customFormat="false" ht="15" hidden="false" customHeight="false" outlineLevel="0" collapsed="false">
      <c r="A2" s="8" t="s">
        <v>664</v>
      </c>
      <c r="B2" s="8" t="s">
        <v>665</v>
      </c>
      <c r="C2" s="8" t="s">
        <v>666</v>
      </c>
    </row>
    <row r="3" customFormat="false" ht="68.65" hidden="false" customHeight="false" outlineLevel="0" collapsed="false">
      <c r="A3" s="11" t="s">
        <v>667</v>
      </c>
      <c r="B3" s="11" t="s">
        <v>665</v>
      </c>
      <c r="C3" s="11" t="s">
        <v>668</v>
      </c>
    </row>
    <row r="5" customFormat="false" ht="15" hidden="false" customHeight="false" outlineLevel="0" collapsed="false">
      <c r="A5" s="1" t="s">
        <v>669</v>
      </c>
      <c r="B5" s="12"/>
      <c r="C5" s="12"/>
    </row>
    <row r="6" customFormat="false" ht="15" hidden="false" customHeight="false" outlineLevel="0" collapsed="false">
      <c r="A6" s="5" t="s">
        <v>670</v>
      </c>
      <c r="B6" s="5" t="s">
        <v>671</v>
      </c>
      <c r="C6" s="5" t="s">
        <v>672</v>
      </c>
    </row>
    <row r="7" customFormat="false" ht="35.05" hidden="false" customHeight="false" outlineLevel="0" collapsed="false">
      <c r="A7" s="11" t="s">
        <v>673</v>
      </c>
      <c r="B7" s="11" t="s">
        <v>674</v>
      </c>
      <c r="C7" s="11" t="s">
        <v>675</v>
      </c>
    </row>
    <row r="8" customFormat="false" ht="23.85" hidden="false" customHeight="false" outlineLevel="0" collapsed="false">
      <c r="A8" s="11" t="s">
        <v>502</v>
      </c>
      <c r="B8" s="11" t="s">
        <v>676</v>
      </c>
      <c r="C8" s="11" t="s">
        <v>677</v>
      </c>
    </row>
    <row r="9" customFormat="false" ht="15" hidden="false" customHeight="false" outlineLevel="0" collapsed="false">
      <c r="A9" s="11" t="s">
        <v>540</v>
      </c>
      <c r="B9" s="11" t="s">
        <v>676</v>
      </c>
      <c r="C9" s="11" t="s">
        <v>678</v>
      </c>
    </row>
    <row r="10" customFormat="false" ht="35.05" hidden="false" customHeight="false" outlineLevel="0" collapsed="false">
      <c r="A10" s="11" t="s">
        <v>445</v>
      </c>
      <c r="B10" s="11" t="s">
        <v>679</v>
      </c>
      <c r="C10" s="11" t="s">
        <v>680</v>
      </c>
    </row>
    <row r="11" customFormat="false" ht="35.05" hidden="false" customHeight="false" outlineLevel="0" collapsed="false">
      <c r="A11" s="11" t="s">
        <v>513</v>
      </c>
      <c r="B11" s="11" t="s">
        <v>681</v>
      </c>
      <c r="C11" s="11" t="s">
        <v>682</v>
      </c>
    </row>
    <row r="12" customFormat="false" ht="35.05" hidden="false" customHeight="false" outlineLevel="0" collapsed="false">
      <c r="A12" s="11" t="s">
        <v>490</v>
      </c>
      <c r="B12" s="11" t="s">
        <v>683</v>
      </c>
      <c r="C12" s="11" t="s">
        <v>684</v>
      </c>
    </row>
    <row r="13" customFormat="false" ht="35.05" hidden="false" customHeight="false" outlineLevel="0" collapsed="false">
      <c r="A13" s="11" t="s">
        <v>68</v>
      </c>
      <c r="B13" s="11" t="s">
        <v>685</v>
      </c>
      <c r="C13" s="11" t="s">
        <v>686</v>
      </c>
    </row>
    <row r="14" customFormat="false" ht="35.05" hidden="false" customHeight="false" outlineLevel="0" collapsed="false">
      <c r="A14" s="11" t="s">
        <v>687</v>
      </c>
      <c r="B14" s="11" t="s">
        <v>688</v>
      </c>
      <c r="C14" s="11" t="s">
        <v>689</v>
      </c>
    </row>
    <row r="15" customFormat="false" ht="35.05" hidden="false" customHeight="false" outlineLevel="0" collapsed="false">
      <c r="A15" s="11" t="s">
        <v>690</v>
      </c>
      <c r="B15" s="11" t="s">
        <v>691</v>
      </c>
      <c r="C15" s="11" t="s">
        <v>692</v>
      </c>
    </row>
    <row r="16" customFormat="false" ht="23.85" hidden="false" customHeight="false" outlineLevel="0" collapsed="false">
      <c r="A16" s="11" t="s">
        <v>693</v>
      </c>
      <c r="B16" s="11" t="s">
        <v>694</v>
      </c>
      <c r="C16" s="11" t="s">
        <v>695</v>
      </c>
    </row>
    <row r="17" customFormat="false" ht="23.85" hidden="false" customHeight="false" outlineLevel="0" collapsed="false">
      <c r="A17" s="11" t="s">
        <v>696</v>
      </c>
      <c r="B17" s="11" t="s">
        <v>697</v>
      </c>
      <c r="C17" s="11" t="s">
        <v>698</v>
      </c>
    </row>
    <row r="18" customFormat="false" ht="23.85" hidden="false" customHeight="false" outlineLevel="0" collapsed="false">
      <c r="A18" s="11" t="s">
        <v>699</v>
      </c>
      <c r="B18" s="11" t="s">
        <v>700</v>
      </c>
      <c r="C18" s="11" t="s">
        <v>701</v>
      </c>
    </row>
    <row r="19" customFormat="false" ht="46.25" hidden="false" customHeight="false" outlineLevel="0" collapsed="false">
      <c r="A19" s="11" t="s">
        <v>702</v>
      </c>
      <c r="B19" s="11" t="s">
        <v>703</v>
      </c>
      <c r="C19" s="11"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2026-08-21T02:38:30Z</dcterms:created>
  <dc:creator>openpyxl</dc:creator>
  <dc:description/>
  <dc:language>en-US</dc:language>
  <cp:lastModifiedBy/>
  <dcterms:modified xsi:type="dcterms:W3CDTF">2026-08-21T02:38:30Z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